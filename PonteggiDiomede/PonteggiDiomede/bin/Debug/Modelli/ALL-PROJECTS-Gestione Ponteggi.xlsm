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Ponteggi5\Desktop\Diomede-2.0\PonteggiDiomede\PonteggiDiomede\bin\Debug\Modelli\"/>
    </mc:Choice>
  </mc:AlternateContent>
  <xr:revisionPtr revIDLastSave="0" documentId="13_ncr:1_{E564F12F-1AC9-467B-8C88-C5F0E6B4118F}" xr6:coauthVersionLast="43" xr6:coauthVersionMax="43" xr10:uidLastSave="{00000000-0000-0000-0000-000000000000}"/>
  <bookViews>
    <workbookView xWindow="36000" yWindow="1380" windowWidth="21600" windowHeight="11385" tabRatio="650" xr2:uid="{00000000-000D-0000-FFFF-FFFF00000000}"/>
  </bookViews>
  <sheets>
    <sheet name="Foglio1" sheetId="1" r:id="rId1"/>
    <sheet name="Riepilogo 2019-1" sheetId="9" r:id="rId2"/>
    <sheet name="Riepilogo 2019-2" sheetId="13" r:id="rId3"/>
    <sheet name="Riepilogo 2019-3" sheetId="14" r:id="rId4"/>
    <sheet name="Riepilogo 2019-4" sheetId="15" r:id="rId5"/>
    <sheet name="Riepilogo 2019-5" sheetId="16" r:id="rId6"/>
    <sheet name="Riepilogo 2019-6" sheetId="25" r:id="rId7"/>
    <sheet name="Riepilogo 2019-7" sheetId="19" r:id="rId8"/>
    <sheet name="Riepilogo 2019-8" sheetId="20" r:id="rId9"/>
    <sheet name="Riepilogo 2019-9" sheetId="21" r:id="rId10"/>
    <sheet name="Riepilogo 2019-10" sheetId="22" r:id="rId11"/>
    <sheet name="Riepilogo 2019-11" sheetId="23" r:id="rId12"/>
    <sheet name="Riepilogo 2019-12" sheetId="24" r:id="rId13"/>
    <sheet name="Clienti" sheetId="26" r:id="rId14"/>
    <sheet name="Foglio2" sheetId="2" r:id="rId15"/>
    <sheet name="Foglio3" sheetId="3" r:id="rId16"/>
    <sheet name="Tempo" sheetId="7" r:id="rId17"/>
    <sheet name="cumulata" sheetId="18" r:id="rId18"/>
  </sheets>
  <functionGroups builtInGroupCount="19"/>
  <definedNames>
    <definedName name="_xlnm._FilterDatabase" localSheetId="0" hidden="1">Foglio1!$A$2:$V$2300</definedName>
    <definedName name="_xlnm._FilterDatabase" localSheetId="16" hidden="1">Tempo!$A$1:$R$66</definedName>
    <definedName name="_xlnm.Print_Area" localSheetId="0">Foglio1!$A$2122:$N$2143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0" i="20" l="1"/>
  <c r="F31" i="20" s="1"/>
  <c r="F25" i="20"/>
  <c r="F26" i="20" s="1"/>
  <c r="F18" i="20"/>
  <c r="F19" i="20" s="1"/>
  <c r="F11" i="20"/>
  <c r="F12" i="20" s="1"/>
  <c r="F4" i="20"/>
  <c r="F5" i="20" s="1"/>
  <c r="Y101" i="20"/>
  <c r="X101" i="20"/>
  <c r="W101" i="20"/>
  <c r="V101" i="20"/>
  <c r="U101" i="20"/>
  <c r="T101" i="20"/>
  <c r="S101" i="20"/>
  <c r="R101" i="20"/>
  <c r="Q101" i="20"/>
  <c r="P101" i="20"/>
  <c r="O101" i="20"/>
  <c r="N101" i="20"/>
  <c r="M101" i="20"/>
  <c r="L101" i="20"/>
  <c r="K101" i="20"/>
  <c r="J101" i="20"/>
  <c r="I101" i="20"/>
  <c r="H101" i="20"/>
  <c r="G101" i="20"/>
  <c r="F101" i="20"/>
  <c r="E101" i="20"/>
  <c r="D101" i="20"/>
  <c r="C101" i="20"/>
  <c r="B101" i="20"/>
  <c r="AB100" i="20"/>
  <c r="AA100" i="20"/>
  <c r="AB99" i="20"/>
  <c r="AA99" i="20"/>
  <c r="AB98" i="20"/>
  <c r="AA98" i="20"/>
  <c r="AB97" i="20"/>
  <c r="AA97" i="20"/>
  <c r="AB96" i="20"/>
  <c r="AA96" i="20"/>
  <c r="AB95" i="20"/>
  <c r="AA95" i="20"/>
  <c r="AB94" i="20"/>
  <c r="AA94" i="20"/>
  <c r="AB93" i="20"/>
  <c r="AA93" i="20"/>
  <c r="AB92" i="20"/>
  <c r="AA92" i="20"/>
  <c r="AB91" i="20"/>
  <c r="AA91" i="20"/>
  <c r="AB90" i="20"/>
  <c r="AA90" i="20"/>
  <c r="AB89" i="20"/>
  <c r="AA89" i="20"/>
  <c r="AB88" i="20"/>
  <c r="AA88" i="20"/>
  <c r="AB87" i="20"/>
  <c r="AA87" i="20"/>
  <c r="AB86" i="20"/>
  <c r="AA86" i="20"/>
  <c r="AB85" i="20"/>
  <c r="AA85" i="20"/>
  <c r="AB84" i="20"/>
  <c r="AA84" i="20"/>
  <c r="AB83" i="20"/>
  <c r="AA83" i="20"/>
  <c r="AB82" i="20"/>
  <c r="AA82" i="20"/>
  <c r="AB81" i="20"/>
  <c r="AA81" i="20"/>
  <c r="AB80" i="20"/>
  <c r="AA80" i="20"/>
  <c r="AB79" i="20"/>
  <c r="AA79" i="20"/>
  <c r="AB78" i="20"/>
  <c r="AA78" i="20"/>
  <c r="AB77" i="20"/>
  <c r="AA77" i="20"/>
  <c r="AB76" i="20"/>
  <c r="AA76" i="20"/>
  <c r="AB75" i="20"/>
  <c r="AA75" i="20"/>
  <c r="AB74" i="20"/>
  <c r="AA74" i="20"/>
  <c r="AB73" i="20"/>
  <c r="AA73" i="20"/>
  <c r="AB72" i="20"/>
  <c r="AA72" i="20"/>
  <c r="AB71" i="20"/>
  <c r="AA71" i="20"/>
  <c r="AB70" i="20"/>
  <c r="AA70" i="20"/>
  <c r="C33" i="20"/>
  <c r="C34" i="20" s="1"/>
  <c r="C35" i="20" s="1"/>
  <c r="C36" i="20" s="1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C57" i="20" s="1"/>
  <c r="C58" i="20" s="1"/>
  <c r="C59" i="20" s="1"/>
  <c r="C60" i="20" s="1"/>
  <c r="C61" i="20" s="1"/>
  <c r="C62" i="20" s="1"/>
  <c r="C63" i="20" s="1"/>
  <c r="B33" i="20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AC93" i="20" l="1"/>
  <c r="C106" i="20"/>
  <c r="AC72" i="20"/>
  <c r="AC80" i="20"/>
  <c r="AC84" i="20"/>
  <c r="AC96" i="20"/>
  <c r="AC74" i="20"/>
  <c r="AC82" i="20"/>
  <c r="AC90" i="20"/>
  <c r="AC94" i="20"/>
  <c r="AC100" i="20"/>
  <c r="AC77" i="20"/>
  <c r="AC85" i="20"/>
  <c r="AC89" i="20"/>
  <c r="AC71" i="20"/>
  <c r="AC75" i="20"/>
  <c r="AC79" i="20"/>
  <c r="AC73" i="20"/>
  <c r="AC76" i="20"/>
  <c r="AC83" i="20"/>
  <c r="AC86" i="20"/>
  <c r="AC97" i="20"/>
  <c r="C105" i="20"/>
  <c r="AC87" i="20"/>
  <c r="AC98" i="20"/>
  <c r="AC70" i="20"/>
  <c r="AC78" i="20"/>
  <c r="AC81" i="20"/>
  <c r="AC88" i="20"/>
  <c r="AC91" i="20"/>
  <c r="AC95" i="20"/>
  <c r="AC99" i="20"/>
  <c r="AC92" i="20"/>
  <c r="D51" i="20"/>
  <c r="B52" i="20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D63" i="20" s="1"/>
  <c r="AA101" i="20"/>
  <c r="AB101" i="20"/>
  <c r="AD92" i="20" l="1"/>
  <c r="AD78" i="20"/>
  <c r="AD99" i="20"/>
  <c r="AD71" i="20"/>
  <c r="AC101" i="20"/>
  <c r="AD101" i="20" s="1"/>
  <c r="F25" i="19" l="1"/>
  <c r="F26" i="19" s="1"/>
  <c r="F18" i="19"/>
  <c r="F19" i="19" s="1"/>
  <c r="F4" i="19"/>
  <c r="F11" i="19"/>
  <c r="F12" i="19" s="1"/>
  <c r="F7" i="14"/>
  <c r="F8" i="14" s="1"/>
  <c r="F8" i="25"/>
  <c r="F9" i="25" s="1"/>
  <c r="F15" i="25"/>
  <c r="F22" i="25"/>
  <c r="F23" i="25" s="1"/>
  <c r="F29" i="25"/>
  <c r="F30" i="25" s="1"/>
  <c r="D3" i="18" l="1"/>
  <c r="D4" i="18"/>
  <c r="D5" i="18"/>
  <c r="D6" i="18"/>
  <c r="D7" i="18"/>
  <c r="D8" i="18"/>
  <c r="D9" i="18"/>
  <c r="D10" i="18"/>
  <c r="D11" i="18"/>
  <c r="D12" i="18"/>
  <c r="D13" i="18"/>
  <c r="D2" i="18"/>
  <c r="D28" i="18"/>
  <c r="D29" i="18"/>
  <c r="D30" i="18"/>
  <c r="D31" i="18"/>
  <c r="D32" i="18"/>
  <c r="D33" i="18"/>
  <c r="D34" i="18"/>
  <c r="D35" i="18"/>
  <c r="D36" i="18"/>
  <c r="D37" i="18"/>
  <c r="D38" i="18"/>
  <c r="D27" i="18"/>
  <c r="B101" i="9"/>
  <c r="F16" i="25" l="1"/>
  <c r="Y101" i="25"/>
  <c r="X101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AB100" i="25"/>
  <c r="AA100" i="25"/>
  <c r="AB99" i="25"/>
  <c r="AA99" i="25"/>
  <c r="AB98" i="25"/>
  <c r="AA98" i="25"/>
  <c r="AB97" i="25"/>
  <c r="AA97" i="25"/>
  <c r="AB96" i="25"/>
  <c r="AA96" i="25"/>
  <c r="AB95" i="25"/>
  <c r="AA95" i="25"/>
  <c r="AB94" i="25"/>
  <c r="AA94" i="25"/>
  <c r="AB93" i="25"/>
  <c r="AA93" i="25"/>
  <c r="AB92" i="25"/>
  <c r="AA92" i="25"/>
  <c r="AB91" i="25"/>
  <c r="AA91" i="25"/>
  <c r="AB90" i="25"/>
  <c r="AA90" i="25"/>
  <c r="AB89" i="25"/>
  <c r="AA89" i="25"/>
  <c r="AB88" i="25"/>
  <c r="AA88" i="25"/>
  <c r="AB87" i="25"/>
  <c r="AA87" i="25"/>
  <c r="AB86" i="25"/>
  <c r="AA86" i="25"/>
  <c r="AB85" i="25"/>
  <c r="AA85" i="25"/>
  <c r="AB84" i="25"/>
  <c r="AA84" i="25"/>
  <c r="AB83" i="25"/>
  <c r="AA83" i="25"/>
  <c r="AB82" i="25"/>
  <c r="AA82" i="25"/>
  <c r="AB81" i="25"/>
  <c r="AA81" i="25"/>
  <c r="AB80" i="25"/>
  <c r="AA80" i="25"/>
  <c r="AB79" i="25"/>
  <c r="AA79" i="25"/>
  <c r="AB78" i="25"/>
  <c r="AA78" i="25"/>
  <c r="AB77" i="25"/>
  <c r="AA77" i="25"/>
  <c r="AB76" i="25"/>
  <c r="AA76" i="25"/>
  <c r="AB75" i="25"/>
  <c r="AA75" i="25"/>
  <c r="AB74" i="25"/>
  <c r="AA74" i="25"/>
  <c r="AB73" i="25"/>
  <c r="AA73" i="25"/>
  <c r="AB72" i="25"/>
  <c r="AA72" i="25"/>
  <c r="AB71" i="25"/>
  <c r="AA71" i="25"/>
  <c r="AB70" i="25"/>
  <c r="AA70" i="25"/>
  <c r="C33" i="25"/>
  <c r="C34" i="25" s="1"/>
  <c r="C35" i="25" s="1"/>
  <c r="C36" i="25" s="1"/>
  <c r="C37" i="25" s="1"/>
  <c r="C38" i="25" s="1"/>
  <c r="C39" i="25" s="1"/>
  <c r="C40" i="25" s="1"/>
  <c r="C41" i="25" s="1"/>
  <c r="C42" i="25" s="1"/>
  <c r="C43" i="25" s="1"/>
  <c r="C44" i="25" s="1"/>
  <c r="C45" i="25" s="1"/>
  <c r="C46" i="25" s="1"/>
  <c r="C47" i="25" s="1"/>
  <c r="C48" i="25" s="1"/>
  <c r="C49" i="25" s="1"/>
  <c r="C50" i="25" s="1"/>
  <c r="C51" i="25" s="1"/>
  <c r="C52" i="25" s="1"/>
  <c r="C53" i="25" s="1"/>
  <c r="C54" i="25" s="1"/>
  <c r="C55" i="25" s="1"/>
  <c r="C56" i="25" s="1"/>
  <c r="C57" i="25" s="1"/>
  <c r="C58" i="25" s="1"/>
  <c r="C59" i="25" s="1"/>
  <c r="C60" i="25" s="1"/>
  <c r="C61" i="25" s="1"/>
  <c r="C62" i="25" s="1"/>
  <c r="B33" i="25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D62" i="25" l="1"/>
  <c r="AC92" i="25"/>
  <c r="AC100" i="25"/>
  <c r="AD100" i="25" s="1"/>
  <c r="AC91" i="25"/>
  <c r="AC77" i="25"/>
  <c r="AC70" i="25"/>
  <c r="AC98" i="25"/>
  <c r="AC80" i="25"/>
  <c r="AC96" i="25"/>
  <c r="AC71" i="25"/>
  <c r="AC75" i="25"/>
  <c r="AC97" i="25"/>
  <c r="AC87" i="25"/>
  <c r="AC86" i="25"/>
  <c r="AC85" i="25"/>
  <c r="AC72" i="25"/>
  <c r="AC94" i="25"/>
  <c r="AC74" i="25"/>
  <c r="AC79" i="25"/>
  <c r="AC73" i="25"/>
  <c r="C105" i="25"/>
  <c r="C106" i="25"/>
  <c r="AC90" i="25"/>
  <c r="AC83" i="25"/>
  <c r="AC76" i="25"/>
  <c r="AC84" i="25"/>
  <c r="AC95" i="25"/>
  <c r="AC88" i="25"/>
  <c r="AC99" i="25"/>
  <c r="AC78" i="25"/>
  <c r="AC81" i="25"/>
  <c r="AC89" i="25"/>
  <c r="AC82" i="25"/>
  <c r="AC93" i="25"/>
  <c r="F30" i="19"/>
  <c r="F31" i="19" s="1"/>
  <c r="F5" i="19"/>
  <c r="Y101" i="19"/>
  <c r="X101" i="19"/>
  <c r="W101" i="19"/>
  <c r="V101" i="19"/>
  <c r="U101" i="19"/>
  <c r="T101" i="19"/>
  <c r="S101" i="19"/>
  <c r="R101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AB100" i="19"/>
  <c r="AA100" i="19"/>
  <c r="AB99" i="19"/>
  <c r="AA99" i="19"/>
  <c r="AB98" i="19"/>
  <c r="AA98" i="19"/>
  <c r="AB97" i="19"/>
  <c r="AA97" i="19"/>
  <c r="AB96" i="19"/>
  <c r="AA96" i="19"/>
  <c r="AB95" i="19"/>
  <c r="AA95" i="19"/>
  <c r="AB94" i="19"/>
  <c r="AA94" i="19"/>
  <c r="AB93" i="19"/>
  <c r="AA93" i="19"/>
  <c r="AB92" i="19"/>
  <c r="AA92" i="19"/>
  <c r="AB91" i="19"/>
  <c r="AA91" i="19"/>
  <c r="AB90" i="19"/>
  <c r="AA90" i="19"/>
  <c r="AB89" i="19"/>
  <c r="AA89" i="19"/>
  <c r="AB88" i="19"/>
  <c r="AA88" i="19"/>
  <c r="AB87" i="19"/>
  <c r="AA87" i="19"/>
  <c r="AB86" i="19"/>
  <c r="AA86" i="19"/>
  <c r="AB85" i="19"/>
  <c r="AA85" i="19"/>
  <c r="AB84" i="19"/>
  <c r="AA84" i="19"/>
  <c r="AB83" i="19"/>
  <c r="AA83" i="19"/>
  <c r="AB82" i="19"/>
  <c r="AA82" i="19"/>
  <c r="AB81" i="19"/>
  <c r="AA81" i="19"/>
  <c r="AB80" i="19"/>
  <c r="AA80" i="19"/>
  <c r="AB79" i="19"/>
  <c r="AA79" i="19"/>
  <c r="AB78" i="19"/>
  <c r="AA78" i="19"/>
  <c r="AB77" i="19"/>
  <c r="AA77" i="19"/>
  <c r="AB76" i="19"/>
  <c r="AA76" i="19"/>
  <c r="AB75" i="19"/>
  <c r="AA75" i="19"/>
  <c r="AB74" i="19"/>
  <c r="AA74" i="19"/>
  <c r="AB73" i="19"/>
  <c r="AA73" i="19"/>
  <c r="AB72" i="19"/>
  <c r="AA72" i="19"/>
  <c r="AB71" i="19"/>
  <c r="AA71" i="19"/>
  <c r="AB70" i="19"/>
  <c r="AA70" i="19"/>
  <c r="C33" i="19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B33" i="19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l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D63" i="19" s="1"/>
  <c r="AD76" i="25"/>
  <c r="AD97" i="25"/>
  <c r="AD90" i="25"/>
  <c r="AD83" i="25"/>
  <c r="AC81" i="19"/>
  <c r="AC85" i="19"/>
  <c r="AC89" i="19"/>
  <c r="AC93" i="19"/>
  <c r="AA101" i="19"/>
  <c r="AB101" i="19"/>
  <c r="AC75" i="19"/>
  <c r="AC80" i="19"/>
  <c r="AC84" i="19"/>
  <c r="AC96" i="19"/>
  <c r="AC90" i="19"/>
  <c r="AC94" i="19"/>
  <c r="AC98" i="19"/>
  <c r="AC91" i="19"/>
  <c r="AC95" i="19"/>
  <c r="AC99" i="19"/>
  <c r="AC70" i="19"/>
  <c r="AC78" i="19"/>
  <c r="AC74" i="19"/>
  <c r="AC72" i="19"/>
  <c r="AC77" i="19"/>
  <c r="AC97" i="19"/>
  <c r="AC86" i="19"/>
  <c r="AC92" i="19"/>
  <c r="C106" i="19"/>
  <c r="C105" i="19"/>
  <c r="AC73" i="19"/>
  <c r="AC76" i="19"/>
  <c r="AC83" i="19"/>
  <c r="AC87" i="19"/>
  <c r="AC88" i="19"/>
  <c r="AC71" i="19"/>
  <c r="AC79" i="19"/>
  <c r="AC82" i="19"/>
  <c r="AC100" i="19"/>
  <c r="AD88" i="19" l="1"/>
  <c r="AD74" i="19"/>
  <c r="AD95" i="19"/>
  <c r="AD81" i="19"/>
  <c r="AC101" i="19"/>
  <c r="AD101" i="19" s="1"/>
  <c r="D51" i="19"/>
  <c r="F30" i="16" l="1"/>
  <c r="F31" i="16" s="1"/>
  <c r="F9" i="16"/>
  <c r="F10" i="16" s="1"/>
  <c r="F16" i="16"/>
  <c r="F17" i="16" s="1"/>
  <c r="F23" i="16"/>
  <c r="Y101" i="16" l="1"/>
  <c r="X101" i="16"/>
  <c r="W101" i="16"/>
  <c r="V101" i="16"/>
  <c r="U101" i="16"/>
  <c r="T101" i="16"/>
  <c r="S101" i="16"/>
  <c r="R101" i="16"/>
  <c r="Q101" i="16"/>
  <c r="P101" i="16"/>
  <c r="O101" i="16"/>
  <c r="N101" i="16"/>
  <c r="M101" i="16"/>
  <c r="L101" i="16"/>
  <c r="K101" i="16"/>
  <c r="J101" i="16"/>
  <c r="I101" i="16"/>
  <c r="H101" i="16"/>
  <c r="G101" i="16"/>
  <c r="F101" i="16"/>
  <c r="E101" i="16"/>
  <c r="D101" i="16"/>
  <c r="C101" i="16"/>
  <c r="B101" i="16"/>
  <c r="AB100" i="16"/>
  <c r="AA100" i="16"/>
  <c r="AB99" i="16"/>
  <c r="AA99" i="16"/>
  <c r="AB98" i="16"/>
  <c r="AA98" i="16"/>
  <c r="AB97" i="16"/>
  <c r="AA97" i="16"/>
  <c r="AB96" i="16"/>
  <c r="AA96" i="16"/>
  <c r="AB95" i="16"/>
  <c r="AA95" i="16"/>
  <c r="AB94" i="16"/>
  <c r="AA94" i="16"/>
  <c r="AB93" i="16"/>
  <c r="AA93" i="16"/>
  <c r="AB92" i="16"/>
  <c r="AA92" i="16"/>
  <c r="AB91" i="16"/>
  <c r="AA91" i="16"/>
  <c r="AB90" i="16"/>
  <c r="AA90" i="16"/>
  <c r="AB89" i="16"/>
  <c r="AA89" i="16"/>
  <c r="AB88" i="16"/>
  <c r="AA88" i="16"/>
  <c r="AB87" i="16"/>
  <c r="AA87" i="16"/>
  <c r="AB86" i="16"/>
  <c r="AA86" i="16"/>
  <c r="AB85" i="16"/>
  <c r="AA85" i="16"/>
  <c r="AB84" i="16"/>
  <c r="AA84" i="16"/>
  <c r="AB83" i="16"/>
  <c r="AA83" i="16"/>
  <c r="AB82" i="16"/>
  <c r="AA82" i="16"/>
  <c r="AB81" i="16"/>
  <c r="AA81" i="16"/>
  <c r="AB80" i="16"/>
  <c r="AA80" i="16"/>
  <c r="AB79" i="16"/>
  <c r="AA79" i="16"/>
  <c r="AB78" i="16"/>
  <c r="AA78" i="16"/>
  <c r="AB77" i="16"/>
  <c r="AA77" i="16"/>
  <c r="AB76" i="16"/>
  <c r="AA76" i="16"/>
  <c r="AB75" i="16"/>
  <c r="AA75" i="16"/>
  <c r="AB74" i="16"/>
  <c r="AA74" i="16"/>
  <c r="AB73" i="16"/>
  <c r="AA73" i="16"/>
  <c r="AB72" i="16"/>
  <c r="AA72" i="16"/>
  <c r="AB71" i="16"/>
  <c r="AA71" i="16"/>
  <c r="AB70" i="16"/>
  <c r="AA70" i="16"/>
  <c r="C33" i="16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B33" i="16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F24" i="16"/>
  <c r="AC77" i="16" l="1"/>
  <c r="AC93" i="16"/>
  <c r="AC73" i="16"/>
  <c r="AC85" i="16"/>
  <c r="AC97" i="16"/>
  <c r="AC75" i="16"/>
  <c r="AC83" i="16"/>
  <c r="AC87" i="16"/>
  <c r="AC91" i="16"/>
  <c r="AC95" i="16"/>
  <c r="AC99" i="16"/>
  <c r="AC84" i="16"/>
  <c r="AC88" i="16"/>
  <c r="AC92" i="16"/>
  <c r="AC96" i="16"/>
  <c r="AC100" i="16"/>
  <c r="AC80" i="16"/>
  <c r="AC74" i="16"/>
  <c r="AC78" i="16"/>
  <c r="AC82" i="16"/>
  <c r="AC86" i="16"/>
  <c r="AC94" i="16"/>
  <c r="AC98" i="16"/>
  <c r="AC72" i="16"/>
  <c r="AC81" i="16"/>
  <c r="D63" i="16"/>
  <c r="AC71" i="16"/>
  <c r="C106" i="16"/>
  <c r="AC79" i="16"/>
  <c r="AC89" i="16"/>
  <c r="AC70" i="16"/>
  <c r="AC76" i="16"/>
  <c r="AC90" i="16"/>
  <c r="C105" i="16"/>
  <c r="F29" i="15"/>
  <c r="F30" i="15" s="1"/>
  <c r="F20" i="15"/>
  <c r="F13" i="15"/>
  <c r="F6" i="15"/>
  <c r="AD93" i="16" l="1"/>
  <c r="AD100" i="16"/>
  <c r="AD72" i="16"/>
  <c r="AD79" i="16"/>
  <c r="AD86" i="16"/>
  <c r="F28" i="14"/>
  <c r="F29" i="14" s="1"/>
  <c r="Y101" i="15" l="1"/>
  <c r="X101" i="15"/>
  <c r="W101" i="15"/>
  <c r="V101" i="15"/>
  <c r="U101" i="15"/>
  <c r="T101" i="15"/>
  <c r="S101" i="15"/>
  <c r="R101" i="15"/>
  <c r="Q101" i="15"/>
  <c r="P101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AB100" i="15"/>
  <c r="AA100" i="15"/>
  <c r="AB99" i="15"/>
  <c r="AA99" i="15"/>
  <c r="AB98" i="15"/>
  <c r="AA98" i="15"/>
  <c r="AB97" i="15"/>
  <c r="AA97" i="15"/>
  <c r="AB96" i="15"/>
  <c r="AA96" i="15"/>
  <c r="AB95" i="15"/>
  <c r="AA95" i="15"/>
  <c r="AB94" i="15"/>
  <c r="AA94" i="15"/>
  <c r="AB93" i="15"/>
  <c r="AA93" i="15"/>
  <c r="AB92" i="15"/>
  <c r="AA92" i="15"/>
  <c r="AB91" i="15"/>
  <c r="AA91" i="15"/>
  <c r="AB90" i="15"/>
  <c r="AA90" i="15"/>
  <c r="AB89" i="15"/>
  <c r="AA89" i="15"/>
  <c r="AB88" i="15"/>
  <c r="AA88" i="15"/>
  <c r="AB87" i="15"/>
  <c r="AA87" i="15"/>
  <c r="AB86" i="15"/>
  <c r="AA86" i="15"/>
  <c r="AB85" i="15"/>
  <c r="AA85" i="15"/>
  <c r="AB84" i="15"/>
  <c r="AA84" i="15"/>
  <c r="AB83" i="15"/>
  <c r="AA83" i="15"/>
  <c r="AB82" i="15"/>
  <c r="AA82" i="15"/>
  <c r="AB81" i="15"/>
  <c r="AA81" i="15"/>
  <c r="AB80" i="15"/>
  <c r="AA80" i="15"/>
  <c r="AB79" i="15"/>
  <c r="AA79" i="15"/>
  <c r="AB78" i="15"/>
  <c r="AA78" i="15"/>
  <c r="AB77" i="15"/>
  <c r="AA77" i="15"/>
  <c r="AB76" i="15"/>
  <c r="AA76" i="15"/>
  <c r="AB75" i="15"/>
  <c r="AA75" i="15"/>
  <c r="AB74" i="15"/>
  <c r="AA74" i="15"/>
  <c r="AB73" i="15"/>
  <c r="AA73" i="15"/>
  <c r="AB72" i="15"/>
  <c r="AA72" i="15"/>
  <c r="AB71" i="15"/>
  <c r="AA71" i="15"/>
  <c r="AB70" i="15"/>
  <c r="AA70" i="15"/>
  <c r="C33" i="15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B33" i="15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F21" i="15"/>
  <c r="F14" i="15"/>
  <c r="F7" i="15"/>
  <c r="D62" i="15" l="1"/>
  <c r="AC91" i="15"/>
  <c r="AC97" i="15"/>
  <c r="AC88" i="15"/>
  <c r="AC100" i="15"/>
  <c r="AC87" i="15"/>
  <c r="AC96" i="15"/>
  <c r="AC71" i="15"/>
  <c r="AC80" i="15"/>
  <c r="AC95" i="15"/>
  <c r="AC99" i="15"/>
  <c r="AC93" i="15"/>
  <c r="AC94" i="15"/>
  <c r="C105" i="15"/>
  <c r="AC70" i="15"/>
  <c r="AC74" i="15"/>
  <c r="AC78" i="15"/>
  <c r="C106" i="15"/>
  <c r="AC83" i="15"/>
  <c r="AC92" i="15"/>
  <c r="AC73" i="15"/>
  <c r="AC81" i="15"/>
  <c r="AC85" i="15"/>
  <c r="AC89" i="15"/>
  <c r="AC77" i="15"/>
  <c r="AC84" i="15"/>
  <c r="AC98" i="15"/>
  <c r="AC82" i="15"/>
  <c r="AC75" i="15"/>
  <c r="AC86" i="15"/>
  <c r="AC76" i="15"/>
  <c r="AC72" i="15"/>
  <c r="AC79" i="15"/>
  <c r="AC90" i="15"/>
  <c r="F7" i="13"/>
  <c r="F8" i="13" s="1"/>
  <c r="AD99" i="15" l="1"/>
  <c r="AD95" i="15"/>
  <c r="AD88" i="15"/>
  <c r="AD74" i="15"/>
  <c r="AD81" i="15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D101" i="14"/>
  <c r="C101" i="14"/>
  <c r="B101" i="14"/>
  <c r="AB100" i="14"/>
  <c r="AA100" i="14"/>
  <c r="AB99" i="14"/>
  <c r="AA99" i="14"/>
  <c r="AB98" i="14"/>
  <c r="AA98" i="14"/>
  <c r="AB97" i="14"/>
  <c r="AA97" i="14"/>
  <c r="AB96" i="14"/>
  <c r="AA96" i="14"/>
  <c r="AB95" i="14"/>
  <c r="AA95" i="14"/>
  <c r="AB94" i="14"/>
  <c r="AA94" i="14"/>
  <c r="AB93" i="14"/>
  <c r="AA93" i="14"/>
  <c r="AB92" i="14"/>
  <c r="AA92" i="14"/>
  <c r="AB91" i="14"/>
  <c r="AA91" i="14"/>
  <c r="AB90" i="14"/>
  <c r="AA90" i="14"/>
  <c r="AB89" i="14"/>
  <c r="AA89" i="14"/>
  <c r="AB88" i="14"/>
  <c r="AA88" i="14"/>
  <c r="AB87" i="14"/>
  <c r="AA87" i="14"/>
  <c r="AB86" i="14"/>
  <c r="AA86" i="14"/>
  <c r="AB85" i="14"/>
  <c r="AA85" i="14"/>
  <c r="AB84" i="14"/>
  <c r="AA84" i="14"/>
  <c r="AB83" i="14"/>
  <c r="AA83" i="14"/>
  <c r="AB82" i="14"/>
  <c r="AA82" i="14"/>
  <c r="AB81" i="14"/>
  <c r="AA81" i="14"/>
  <c r="AB80" i="14"/>
  <c r="AA80" i="14"/>
  <c r="AB79" i="14"/>
  <c r="AA79" i="14"/>
  <c r="AB78" i="14"/>
  <c r="AA78" i="14"/>
  <c r="AB77" i="14"/>
  <c r="AA77" i="14"/>
  <c r="AB76" i="14"/>
  <c r="AA76" i="14"/>
  <c r="AB75" i="14"/>
  <c r="AA75" i="14"/>
  <c r="AB74" i="14"/>
  <c r="AA74" i="14"/>
  <c r="AB73" i="14"/>
  <c r="AA73" i="14"/>
  <c r="AB72" i="14"/>
  <c r="AA72" i="14"/>
  <c r="AB71" i="14"/>
  <c r="AA71" i="14"/>
  <c r="AB70" i="14"/>
  <c r="AA70" i="14"/>
  <c r="C33" i="14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B33" i="14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F21" i="14"/>
  <c r="F22" i="14" s="1"/>
  <c r="F14" i="14"/>
  <c r="F15" i="14" s="1"/>
  <c r="B101" i="13"/>
  <c r="F27" i="13"/>
  <c r="F28" i="13" s="1"/>
  <c r="F21" i="13"/>
  <c r="F22" i="13" s="1"/>
  <c r="F14" i="13"/>
  <c r="F15" i="13" s="1"/>
  <c r="Y101" i="13"/>
  <c r="X101" i="13"/>
  <c r="W101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J101" i="13"/>
  <c r="I101" i="13"/>
  <c r="H101" i="13"/>
  <c r="G101" i="13"/>
  <c r="F101" i="13"/>
  <c r="E101" i="13"/>
  <c r="D101" i="13"/>
  <c r="C101" i="13"/>
  <c r="AB100" i="13"/>
  <c r="AA100" i="13"/>
  <c r="AB99" i="13"/>
  <c r="AA99" i="13"/>
  <c r="AB98" i="13"/>
  <c r="AA98" i="13"/>
  <c r="AB97" i="13"/>
  <c r="AA97" i="13"/>
  <c r="AB96" i="13"/>
  <c r="AA96" i="13"/>
  <c r="AB95" i="13"/>
  <c r="AA95" i="13"/>
  <c r="AB94" i="13"/>
  <c r="AA94" i="13"/>
  <c r="AB93" i="13"/>
  <c r="AA93" i="13"/>
  <c r="AB92" i="13"/>
  <c r="AA92" i="13"/>
  <c r="AB91" i="13"/>
  <c r="AA91" i="13"/>
  <c r="AB90" i="13"/>
  <c r="AA90" i="13"/>
  <c r="AB89" i="13"/>
  <c r="AA89" i="13"/>
  <c r="AB88" i="13"/>
  <c r="AA88" i="13"/>
  <c r="AB87" i="13"/>
  <c r="AA87" i="13"/>
  <c r="AB86" i="13"/>
  <c r="AA86" i="13"/>
  <c r="AB85" i="13"/>
  <c r="AA85" i="13"/>
  <c r="AB84" i="13"/>
  <c r="AA84" i="13"/>
  <c r="AB83" i="13"/>
  <c r="AA83" i="13"/>
  <c r="AB82" i="13"/>
  <c r="AA82" i="13"/>
  <c r="AB81" i="13"/>
  <c r="AA81" i="13"/>
  <c r="AB80" i="13"/>
  <c r="AA80" i="13"/>
  <c r="AB79" i="13"/>
  <c r="AA79" i="13"/>
  <c r="AB78" i="13"/>
  <c r="AA78" i="13"/>
  <c r="AB77" i="13"/>
  <c r="AA77" i="13"/>
  <c r="AB76" i="13"/>
  <c r="AA76" i="13"/>
  <c r="AB75" i="13"/>
  <c r="AA75" i="13"/>
  <c r="AB74" i="13"/>
  <c r="AA74" i="13"/>
  <c r="AB73" i="13"/>
  <c r="AA73" i="13"/>
  <c r="AB72" i="13"/>
  <c r="AA72" i="13"/>
  <c r="AB71" i="13"/>
  <c r="AA71" i="13"/>
  <c r="AB70" i="13"/>
  <c r="AA70" i="13"/>
  <c r="C33" i="13"/>
  <c r="C34" i="13" s="1"/>
  <c r="C35" i="13" s="1"/>
  <c r="C36" i="13" s="1"/>
  <c r="C37" i="13" s="1"/>
  <c r="C38" i="13" s="1"/>
  <c r="C39" i="13" s="1"/>
  <c r="C40" i="13" s="1"/>
  <c r="C43" i="13" s="1"/>
  <c r="C44" i="13" s="1"/>
  <c r="C45" i="13" s="1"/>
  <c r="C46" i="13" s="1"/>
  <c r="C47" i="13" s="1"/>
  <c r="C50" i="13" s="1"/>
  <c r="C51" i="13" s="1"/>
  <c r="C52" i="13" s="1"/>
  <c r="C53" i="13" s="1"/>
  <c r="C54" i="13" s="1"/>
  <c r="C57" i="13" s="1"/>
  <c r="C58" i="13" s="1"/>
  <c r="C59" i="13" s="1"/>
  <c r="C60" i="13" s="1"/>
  <c r="B36" i="13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D60" i="13" l="1"/>
  <c r="D63" i="14"/>
  <c r="AC85" i="14"/>
  <c r="AC89" i="14"/>
  <c r="AC93" i="14"/>
  <c r="AC78" i="14"/>
  <c r="AC86" i="14"/>
  <c r="AC90" i="14"/>
  <c r="AC94" i="14"/>
  <c r="AC98" i="14"/>
  <c r="AC72" i="14"/>
  <c r="AC71" i="14"/>
  <c r="AC75" i="14"/>
  <c r="AC79" i="14"/>
  <c r="AC83" i="14"/>
  <c r="AC91" i="14"/>
  <c r="AC99" i="14"/>
  <c r="AC92" i="14"/>
  <c r="AC96" i="14"/>
  <c r="AC84" i="14"/>
  <c r="AC80" i="14"/>
  <c r="C105" i="14"/>
  <c r="AC74" i="14"/>
  <c r="AC77" i="14"/>
  <c r="AC73" i="14"/>
  <c r="AC70" i="14"/>
  <c r="AD70" i="14" s="1"/>
  <c r="AC97" i="14"/>
  <c r="C106" i="14"/>
  <c r="AC82" i="14"/>
  <c r="AC95" i="14"/>
  <c r="AC76" i="14"/>
  <c r="AC87" i="14"/>
  <c r="AC81" i="14"/>
  <c r="AC88" i="14"/>
  <c r="AC100" i="14"/>
  <c r="AC71" i="13"/>
  <c r="AC79" i="13"/>
  <c r="AC99" i="13"/>
  <c r="AC88" i="13"/>
  <c r="AC78" i="13"/>
  <c r="AC98" i="13"/>
  <c r="AC72" i="13"/>
  <c r="AC94" i="13"/>
  <c r="AC90" i="13"/>
  <c r="AC83" i="13"/>
  <c r="AC87" i="13"/>
  <c r="AC95" i="13"/>
  <c r="AC70" i="13"/>
  <c r="AD70" i="13" s="1"/>
  <c r="AC81" i="13"/>
  <c r="AC89" i="13"/>
  <c r="AC93" i="13"/>
  <c r="AC97" i="13"/>
  <c r="AC77" i="13"/>
  <c r="AC76" i="13"/>
  <c r="AC80" i="13"/>
  <c r="AC84" i="13"/>
  <c r="AC73" i="13"/>
  <c r="AC96" i="13"/>
  <c r="C106" i="13"/>
  <c r="AC86" i="13"/>
  <c r="C105" i="13"/>
  <c r="AC74" i="13"/>
  <c r="AC91" i="13"/>
  <c r="AC75" i="13"/>
  <c r="AC82" i="13"/>
  <c r="AC85" i="13"/>
  <c r="AC92" i="13"/>
  <c r="AC100" i="13"/>
  <c r="C101" i="9"/>
  <c r="AD91" i="14" l="1"/>
  <c r="AD77" i="14"/>
  <c r="AD98" i="14"/>
  <c r="AD84" i="14"/>
  <c r="AD84" i="13"/>
  <c r="AD91" i="13"/>
  <c r="AD77" i="13"/>
  <c r="AD98" i="13"/>
  <c r="F30" i="9"/>
  <c r="F31" i="9" s="1"/>
  <c r="F26" i="9"/>
  <c r="F19" i="9"/>
  <c r="F12" i="9"/>
  <c r="F5" i="9"/>
  <c r="F6" i="9" s="1"/>
  <c r="Y101" i="9" l="1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AB100" i="9"/>
  <c r="AA100" i="9"/>
  <c r="AB99" i="9"/>
  <c r="AA99" i="9"/>
  <c r="AB98" i="9"/>
  <c r="AA98" i="9"/>
  <c r="AB97" i="9"/>
  <c r="AA97" i="9"/>
  <c r="AB96" i="9"/>
  <c r="AA96" i="9"/>
  <c r="AB95" i="9"/>
  <c r="AA95" i="9"/>
  <c r="AB94" i="9"/>
  <c r="AA94" i="9"/>
  <c r="AB93" i="9"/>
  <c r="AA93" i="9"/>
  <c r="AB92" i="9"/>
  <c r="AA92" i="9"/>
  <c r="AB91" i="9"/>
  <c r="AA91" i="9"/>
  <c r="AB90" i="9"/>
  <c r="AA90" i="9"/>
  <c r="AB89" i="9"/>
  <c r="AA89" i="9"/>
  <c r="AB88" i="9"/>
  <c r="AA88" i="9"/>
  <c r="AB87" i="9"/>
  <c r="AA87" i="9"/>
  <c r="AB86" i="9"/>
  <c r="AA86" i="9"/>
  <c r="AB85" i="9"/>
  <c r="AA85" i="9"/>
  <c r="AB84" i="9"/>
  <c r="AA84" i="9"/>
  <c r="AB83" i="9"/>
  <c r="AA83" i="9"/>
  <c r="AB82" i="9"/>
  <c r="AA82" i="9"/>
  <c r="AB81" i="9"/>
  <c r="AA81" i="9"/>
  <c r="AB80" i="9"/>
  <c r="AA80" i="9"/>
  <c r="AB79" i="9"/>
  <c r="AA79" i="9"/>
  <c r="AB78" i="9"/>
  <c r="AA78" i="9"/>
  <c r="AB77" i="9"/>
  <c r="AA77" i="9"/>
  <c r="AB76" i="9"/>
  <c r="AA76" i="9"/>
  <c r="AB75" i="9"/>
  <c r="AA75" i="9"/>
  <c r="AB74" i="9"/>
  <c r="AA74" i="9"/>
  <c r="AB73" i="9"/>
  <c r="AA73" i="9"/>
  <c r="AB72" i="9"/>
  <c r="AA72" i="9"/>
  <c r="AB71" i="9"/>
  <c r="AA71" i="9"/>
  <c r="AB70" i="9"/>
  <c r="AA70" i="9"/>
  <c r="C33" i="9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B33" i="9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F27" i="9"/>
  <c r="F20" i="9"/>
  <c r="F13" i="9"/>
  <c r="C105" i="9" l="1"/>
  <c r="D63" i="9"/>
  <c r="AC97" i="9"/>
  <c r="AC75" i="9"/>
  <c r="AC79" i="9"/>
  <c r="AC73" i="9"/>
  <c r="AC70" i="9"/>
  <c r="AC74" i="9"/>
  <c r="AC78" i="9"/>
  <c r="C106" i="9"/>
  <c r="AC86" i="9"/>
  <c r="AC81" i="9"/>
  <c r="AC83" i="9"/>
  <c r="AC91" i="9"/>
  <c r="AC95" i="9"/>
  <c r="AC93" i="9"/>
  <c r="AC72" i="9"/>
  <c r="AC80" i="9"/>
  <c r="AC84" i="9"/>
  <c r="AC96" i="9"/>
  <c r="AC100" i="9"/>
  <c r="AC85" i="9"/>
  <c r="AC89" i="9"/>
  <c r="AC71" i="9"/>
  <c r="AC82" i="9"/>
  <c r="AC90" i="9"/>
  <c r="AC94" i="9"/>
  <c r="AC98" i="9"/>
  <c r="AC76" i="9"/>
  <c r="AC87" i="9"/>
  <c r="AC99" i="9"/>
  <c r="AC77" i="9"/>
  <c r="AC88" i="9"/>
  <c r="AC92" i="9"/>
  <c r="AD80" i="9" l="1"/>
  <c r="AD73" i="9"/>
  <c r="AD100" i="9"/>
  <c r="AD87" i="9"/>
  <c r="AD94" i="9"/>
  <c r="U63" i="7" l="1"/>
  <c r="P59" i="7" s="1"/>
  <c r="T63" i="7" l="1"/>
  <c r="P11" i="7" l="1"/>
  <c r="P2" i="7"/>
  <c r="F39" i="7"/>
  <c r="F62" i="7"/>
  <c r="P62" i="7"/>
  <c r="P58" i="7"/>
  <c r="P42" i="7"/>
  <c r="P17" i="7"/>
  <c r="P21" i="7"/>
  <c r="F53" i="7"/>
  <c r="P27" i="7"/>
  <c r="P54" i="7"/>
  <c r="F45" i="7"/>
  <c r="P14" i="7"/>
  <c r="P19" i="7"/>
  <c r="P23" i="7"/>
  <c r="P45" i="7"/>
  <c r="P28" i="7"/>
  <c r="P32" i="7"/>
  <c r="P8" i="7"/>
  <c r="P35" i="7"/>
  <c r="F35" i="7"/>
  <c r="P5" i="7"/>
  <c r="P39" i="7"/>
  <c r="P50" i="7"/>
  <c r="P15" i="7"/>
  <c r="P43" i="7"/>
  <c r="P52" i="7"/>
  <c r="F10" i="7"/>
  <c r="F40" i="7"/>
  <c r="P40" i="7"/>
  <c r="P44" i="7"/>
  <c r="P48" i="7"/>
  <c r="P9" i="7"/>
  <c r="P51" i="7"/>
  <c r="P16" i="7"/>
  <c r="P20" i="7"/>
  <c r="P4" i="7"/>
  <c r="F8" i="7"/>
  <c r="P3" i="7"/>
  <c r="P31" i="7"/>
  <c r="P34" i="7"/>
  <c r="P36" i="7"/>
  <c r="F16" i="7"/>
  <c r="P13" i="7"/>
  <c r="P46" i="7"/>
  <c r="P6" i="7"/>
  <c r="P10" i="7"/>
  <c r="P24" i="7"/>
  <c r="F46" i="7"/>
  <c r="F11" i="7"/>
  <c r="F23" i="7"/>
  <c r="F36" i="7"/>
  <c r="F19" i="7"/>
  <c r="F15" i="7"/>
  <c r="F31" i="7"/>
  <c r="F42" i="7"/>
  <c r="F48" i="7"/>
  <c r="P26" i="7"/>
  <c r="P37" i="7"/>
  <c r="P12" i="7"/>
  <c r="F7" i="7"/>
  <c r="F56" i="7"/>
  <c r="F60" i="7"/>
  <c r="F18" i="7"/>
  <c r="F59" i="7"/>
  <c r="F55" i="7"/>
  <c r="F38" i="7"/>
  <c r="P53" i="7"/>
  <c r="F25" i="7"/>
  <c r="F22" i="7"/>
  <c r="F41" i="7"/>
  <c r="F33" i="7"/>
  <c r="F57" i="7"/>
  <c r="F47" i="7"/>
  <c r="F49" i="7"/>
  <c r="F61" i="7"/>
  <c r="F29" i="7"/>
  <c r="F30" i="7"/>
  <c r="F54" i="7"/>
  <c r="F32" i="7"/>
  <c r="F51" i="7"/>
  <c r="F13" i="7"/>
  <c r="P30" i="7"/>
  <c r="P29" i="7"/>
  <c r="P61" i="7"/>
  <c r="P49" i="7"/>
  <c r="P47" i="7"/>
  <c r="P57" i="7"/>
  <c r="P33" i="7"/>
  <c r="P41" i="7"/>
  <c r="P22" i="7"/>
  <c r="P25" i="7"/>
  <c r="F4" i="7"/>
  <c r="F44" i="7"/>
  <c r="F20" i="7"/>
  <c r="F17" i="7"/>
  <c r="F5" i="7"/>
  <c r="F50" i="7"/>
  <c r="F3" i="7"/>
  <c r="P38" i="7"/>
  <c r="P55" i="7"/>
  <c r="P18" i="7"/>
  <c r="P60" i="7"/>
  <c r="P56" i="7"/>
  <c r="P7" i="7"/>
  <c r="F12" i="7"/>
  <c r="F2" i="7"/>
  <c r="F37" i="7"/>
  <c r="F26" i="7"/>
  <c r="F6" i="7"/>
  <c r="F27" i="7"/>
  <c r="F28" i="7"/>
  <c r="F9" i="7"/>
  <c r="F24" i="7"/>
  <c r="F52" i="7"/>
  <c r="F21" i="7"/>
  <c r="F43" i="7"/>
  <c r="F34" i="7"/>
  <c r="F58" i="7"/>
  <c r="F14" i="7"/>
  <c r="R11" i="7" l="1"/>
  <c r="R39" i="7"/>
  <c r="R32" i="7"/>
  <c r="R34" i="7"/>
  <c r="R21" i="7"/>
  <c r="R17" i="7"/>
  <c r="R58" i="7"/>
  <c r="R48" i="7"/>
  <c r="R27" i="7"/>
  <c r="R60" i="7"/>
  <c r="R20" i="7"/>
  <c r="R10" i="7"/>
  <c r="R6" i="7"/>
  <c r="R15" i="7"/>
  <c r="R9" i="7"/>
  <c r="R5" i="7"/>
  <c r="R8" i="7"/>
  <c r="R61" i="7"/>
  <c r="R19" i="7"/>
  <c r="R23" i="7"/>
  <c r="R14" i="7"/>
  <c r="R28" i="7"/>
  <c r="R31" i="7"/>
  <c r="R38" i="7"/>
  <c r="R62" i="7"/>
  <c r="R16" i="7"/>
  <c r="R51" i="7"/>
  <c r="R42" i="7"/>
  <c r="R50" i="7"/>
  <c r="R18" i="7"/>
  <c r="R47" i="7"/>
  <c r="R55" i="7"/>
  <c r="R57" i="7"/>
  <c r="R4" i="7"/>
  <c r="R49" i="7"/>
  <c r="R45" i="7"/>
  <c r="R52" i="7"/>
  <c r="R24" i="7"/>
  <c r="R3" i="7"/>
  <c r="R25" i="7"/>
  <c r="R46" i="7"/>
  <c r="R40" i="7"/>
  <c r="R36" i="7"/>
  <c r="R13" i="7"/>
  <c r="R35" i="7"/>
  <c r="R43" i="7"/>
  <c r="R44" i="7"/>
  <c r="R54" i="7"/>
  <c r="R33" i="7"/>
  <c r="R26" i="7"/>
  <c r="R59" i="7"/>
  <c r="R29" i="7"/>
  <c r="R53" i="7"/>
  <c r="R12" i="7"/>
  <c r="R7" i="7"/>
  <c r="R22" i="7"/>
  <c r="R30" i="7"/>
  <c r="R2" i="7"/>
  <c r="R56" i="7"/>
  <c r="R41" i="7"/>
  <c r="R37" i="7"/>
</calcChain>
</file>

<file path=xl/sharedStrings.xml><?xml version="1.0" encoding="utf-8"?>
<sst xmlns="http://schemas.openxmlformats.org/spreadsheetml/2006/main" count="835" uniqueCount="334">
  <si>
    <t>COMMESSA</t>
  </si>
  <si>
    <t>Ponteggi Anteor 2000</t>
  </si>
  <si>
    <t>Kryalos sgr spa</t>
  </si>
  <si>
    <t>Ars Aedificandi spa</t>
  </si>
  <si>
    <t>Newcoms sas</t>
  </si>
  <si>
    <t>Vi.gevano Ponteggi srl</t>
  </si>
  <si>
    <t>Tecnoponteggi</t>
  </si>
  <si>
    <t>Numerazione Interna</t>
  </si>
  <si>
    <t>Numero Commessa</t>
  </si>
  <si>
    <t>Data Incarico</t>
  </si>
  <si>
    <t>Cliente</t>
  </si>
  <si>
    <t>Indirizzo</t>
  </si>
  <si>
    <t>Fase Progetto
(Nuovo/Agg0x)</t>
  </si>
  <si>
    <t>Tipo
(Ponteggio, pubblicità…)</t>
  </si>
  <si>
    <t>CANTIERE</t>
  </si>
  <si>
    <t>SOPRALLUOGO</t>
  </si>
  <si>
    <t>Nome</t>
  </si>
  <si>
    <t>Data</t>
  </si>
  <si>
    <t>Data Richiesta Consegna</t>
  </si>
  <si>
    <t>INVIO AL CLIENTE</t>
  </si>
  <si>
    <t>Data (da e-mail)</t>
  </si>
  <si>
    <t>Ora (da e-mail)</t>
  </si>
  <si>
    <t>NOTE GENERALI</t>
  </si>
  <si>
    <t>Note Generali</t>
  </si>
  <si>
    <t>Nuovo</t>
  </si>
  <si>
    <t>Andrea</t>
  </si>
  <si>
    <t>Gero</t>
  </si>
  <si>
    <t>Virginia</t>
  </si>
  <si>
    <t>Rossana</t>
  </si>
  <si>
    <t>Alma</t>
  </si>
  <si>
    <t>Elipont</t>
  </si>
  <si>
    <t>Fabio</t>
  </si>
  <si>
    <t>Title</t>
  </si>
  <si>
    <t>Subject</t>
  </si>
  <si>
    <t>Author</t>
  </si>
  <si>
    <t>Keywords</t>
  </si>
  <si>
    <t>Comments</t>
  </si>
  <si>
    <t>Template</t>
  </si>
  <si>
    <t>Last author</t>
  </si>
  <si>
    <t>Revision number</t>
  </si>
  <si>
    <t>Application name</t>
  </si>
  <si>
    <t>Last print date</t>
  </si>
  <si>
    <t>Creation date</t>
  </si>
  <si>
    <t>Last save time</t>
  </si>
  <si>
    <t>Total editing time</t>
  </si>
  <si>
    <t>Number of pages</t>
  </si>
  <si>
    <t>Number of words</t>
  </si>
  <si>
    <t>Number of characters</t>
  </si>
  <si>
    <t>Security</t>
  </si>
  <si>
    <t>Category</t>
  </si>
  <si>
    <t>Format</t>
  </si>
  <si>
    <t>Manager</t>
  </si>
  <si>
    <t>Company</t>
  </si>
  <si>
    <t>Number of bytes</t>
  </si>
  <si>
    <t>Number of lines</t>
  </si>
  <si>
    <t>Number of paragraphs</t>
  </si>
  <si>
    <t>Number of slides</t>
  </si>
  <si>
    <t>Number of notes</t>
  </si>
  <si>
    <t>Number of hidden Slides</t>
  </si>
  <si>
    <t>Number of multimedia clips</t>
  </si>
  <si>
    <t>Hyperlink base</t>
  </si>
  <si>
    <t>Number of characters (with spaces)</t>
  </si>
  <si>
    <t>Content type</t>
  </si>
  <si>
    <t>Content status</t>
  </si>
  <si>
    <t>Language</t>
  </si>
  <si>
    <t>Document version</t>
  </si>
  <si>
    <t>Di Gravio</t>
  </si>
  <si>
    <t>Sirio</t>
  </si>
  <si>
    <t>Grassi &amp; Crespi</t>
  </si>
  <si>
    <t>Malara Sas</t>
  </si>
  <si>
    <t>Urban Vision</t>
  </si>
  <si>
    <t>El Gouhary</t>
  </si>
  <si>
    <t>Tomasoni</t>
  </si>
  <si>
    <t>Dedalo S.r.l.</t>
  </si>
  <si>
    <t>TMC Pubblicità</t>
  </si>
  <si>
    <t>PF Ponteggi</t>
  </si>
  <si>
    <t>Impresa Edile Capelli Gianluca</t>
  </si>
  <si>
    <t>Edilmel Srl</t>
  </si>
  <si>
    <t>Carmicino Ponteggi srl</t>
  </si>
  <si>
    <t>Uguccioni Ponteggi srl</t>
  </si>
  <si>
    <t>Edilservice srl</t>
  </si>
  <si>
    <t>One</t>
  </si>
  <si>
    <t>Reale Immobili</t>
  </si>
  <si>
    <t>Orlando-Fanari srl</t>
  </si>
  <si>
    <t>FATTURAZIONE</t>
  </si>
  <si>
    <t>Imponibile</t>
  </si>
  <si>
    <t>COLORE</t>
  </si>
  <si>
    <t xml:space="preserve">   b/v/a/g/r</t>
  </si>
  <si>
    <t xml:space="preserve">   Fatturato
Da Fatturare
Non da fatturare</t>
  </si>
  <si>
    <t>Edil Niro</t>
  </si>
  <si>
    <t>Idria Edil Ponteggi</t>
  </si>
  <si>
    <t>Como Contracts Srl</t>
  </si>
  <si>
    <t>Gruppo Di Falco</t>
  </si>
  <si>
    <t>MG Ponteggi</t>
  </si>
  <si>
    <t>M.T.N. Group Srl</t>
  </si>
  <si>
    <t>Marfor Ponteggi</t>
  </si>
  <si>
    <t>Marconi Restauri S.r.l.</t>
  </si>
  <si>
    <t>Note</t>
  </si>
  <si>
    <t>T.L.B. S.r.l.</t>
  </si>
  <si>
    <t>UNO-P</t>
  </si>
  <si>
    <t>Edilman</t>
  </si>
  <si>
    <t>GZ Ponteggi</t>
  </si>
  <si>
    <t>Herrera</t>
  </si>
  <si>
    <t>Edilnoleggi Valente</t>
  </si>
  <si>
    <t>CDI ponteggi</t>
  </si>
  <si>
    <t>Acone associati</t>
  </si>
  <si>
    <t>Nicolas</t>
  </si>
  <si>
    <t>Agos</t>
  </si>
  <si>
    <t>Edilgornati</t>
  </si>
  <si>
    <t>SCRD Sant'Antonio</t>
  </si>
  <si>
    <t>James</t>
  </si>
  <si>
    <t>Dilshan</t>
  </si>
  <si>
    <t>Marco</t>
  </si>
  <si>
    <t>Martino Costruzioni</t>
  </si>
  <si>
    <t>Di Falco</t>
  </si>
  <si>
    <t>Nome Cartella</t>
  </si>
  <si>
    <t>Carmicino</t>
  </si>
  <si>
    <t>Firma</t>
  </si>
  <si>
    <t>Pullara</t>
  </si>
  <si>
    <t>A.M.</t>
  </si>
  <si>
    <t>Realpont</t>
  </si>
  <si>
    <t>Teicos</t>
  </si>
  <si>
    <t>Nome File Unito</t>
  </si>
  <si>
    <t>Carmicino Ponteggi Srl</t>
  </si>
  <si>
    <t>Boc105/ Ceta</t>
  </si>
  <si>
    <t>Teicos Costruzioni Srl</t>
  </si>
  <si>
    <t>Ponteggi Agos Srl</t>
  </si>
  <si>
    <t>Capelli Gianluca</t>
  </si>
  <si>
    <t>Aedes S.r.l.</t>
  </si>
  <si>
    <t>Carpedil</t>
  </si>
  <si>
    <t>Tecnoponteggi Edili S.r.l.</t>
  </si>
  <si>
    <t>GS Ponteggi</t>
  </si>
  <si>
    <t>Immobiliare Mar</t>
  </si>
  <si>
    <t>Cipe srl</t>
  </si>
  <si>
    <t>Progetto ponteggi</t>
  </si>
  <si>
    <t>Policos</t>
  </si>
  <si>
    <t>Ceruti Marco</t>
  </si>
  <si>
    <t>Respedil</t>
  </si>
  <si>
    <t>Externa</t>
  </si>
  <si>
    <t>Edil Piemme</t>
  </si>
  <si>
    <t>SM Ponteggi</t>
  </si>
  <si>
    <t>Evalto e Randon</t>
  </si>
  <si>
    <t>Edil4 Srl</t>
  </si>
  <si>
    <t>Urban Vision/Di Falco</t>
  </si>
  <si>
    <t>Agg.</t>
  </si>
  <si>
    <t>Edil Rebecca</t>
  </si>
  <si>
    <t>Cooperativa Artedile</t>
  </si>
  <si>
    <t>Ponteggi Minnella Domenico</t>
  </si>
  <si>
    <t>Tot.=</t>
  </si>
  <si>
    <t>Media=</t>
  </si>
  <si>
    <t>Tot. Agg.=</t>
  </si>
  <si>
    <t>Tot. Nuovi=</t>
  </si>
  <si>
    <t>TOT.</t>
  </si>
  <si>
    <t>ditta</t>
  </si>
  <si>
    <t>N</t>
  </si>
  <si>
    <t>A</t>
  </si>
  <si>
    <t>T</t>
  </si>
  <si>
    <t>Prezzo</t>
  </si>
  <si>
    <t>Incidenza su n. lavori</t>
  </si>
  <si>
    <t>Incidenza su produzione</t>
  </si>
  <si>
    <t>Differenza</t>
  </si>
  <si>
    <t>RELAZIONE</t>
  </si>
  <si>
    <t>DISEGNO</t>
  </si>
  <si>
    <t>ASSEGNAZIONE</t>
  </si>
  <si>
    <t>NOTE PREZZI</t>
  </si>
  <si>
    <t>Data Esecuzione Progetto</t>
  </si>
  <si>
    <t>Arrivo/ consegna</t>
  </si>
  <si>
    <t>Maverick</t>
  </si>
  <si>
    <t>Starvaggi</t>
  </si>
  <si>
    <t>Ojkos</t>
  </si>
  <si>
    <t>Grandi Ponteggi</t>
  </si>
  <si>
    <t>B.S. Urban ADV</t>
  </si>
  <si>
    <t>Hunnebeck Italia S.p.A</t>
  </si>
  <si>
    <t>Mese</t>
  </si>
  <si>
    <t>Raggiunto</t>
  </si>
  <si>
    <t>Obbiettivo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</si>
  <si>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</si>
  <si>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</si>
  <si>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</si>
  <si>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</si>
  <si>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</si>
  <si>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</si>
  <si>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</si>
  <si>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</si>
  <si>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</si>
  <si>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</si>
  <si>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</si>
  <si>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</si>
  <si>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Aggiornamenti</t>
  </si>
  <si>
    <t>Nuovi</t>
  </si>
  <si>
    <t>Acconciatetti S.r.l</t>
  </si>
  <si>
    <t>Acone Associati S.r.l</t>
  </si>
  <si>
    <t>Arco Arredamenti S.r.l</t>
  </si>
  <si>
    <t>ARMOFER Cinerari Luigi S.r.l</t>
  </si>
  <si>
    <t>Ars Aedificandi S.p.A</t>
  </si>
  <si>
    <t>B.S. Urban Adv S.r.l.</t>
  </si>
  <si>
    <t>BCD Noleggi S.r.l</t>
  </si>
  <si>
    <t>Be. Ma S.r.l</t>
  </si>
  <si>
    <t>Brand Italia S.p.A</t>
  </si>
  <si>
    <t>C.D.I. Ponteggi S.C</t>
  </si>
  <si>
    <t>Campus Bocconi S.c.a.r.l</t>
  </si>
  <si>
    <t>Carmicino Ponteggi S.r.l</t>
  </si>
  <si>
    <t>Cerruti Fratelli S.r.l</t>
  </si>
  <si>
    <t>Cesab S.r.l</t>
  </si>
  <si>
    <t>Cipe S.r.l</t>
  </si>
  <si>
    <t>Clima System S.a.s. Di Orzetti Roberto &amp; C</t>
  </si>
  <si>
    <t>Coedil Costruzioni Generali Spa</t>
  </si>
  <si>
    <t>Como Contract S.r.l</t>
  </si>
  <si>
    <t>Cooperativa Arte Edile S.c. a r.l.</t>
  </si>
  <si>
    <t>Costruzioni Edili C&amp;P  di Canepari e Pozzi S.r.l</t>
  </si>
  <si>
    <t>Crea.Mi S.r.l</t>
  </si>
  <si>
    <t>Credil S.r.l</t>
  </si>
  <si>
    <t>D&amp;D Group S.r.l</t>
  </si>
  <si>
    <t>Daco Costruzioni S.r.l</t>
  </si>
  <si>
    <t>Dacor S.r.l</t>
  </si>
  <si>
    <t>Dedalo S.r.l</t>
  </si>
  <si>
    <t>Defi Italia S.p.A</t>
  </si>
  <si>
    <t>Dolomiti Ponteggi S.r.l</t>
  </si>
  <si>
    <t>Edil Arte S.r.l</t>
  </si>
  <si>
    <t>Edil Gornati S.r.l</t>
  </si>
  <si>
    <t>Edil Lam S.r.l</t>
  </si>
  <si>
    <t>Edil Mova S.r.l</t>
  </si>
  <si>
    <t>Edil Niro Di Niro Romeo</t>
  </si>
  <si>
    <t>Edil Pellegrini S.r.l</t>
  </si>
  <si>
    <t>Edil Piemme s.a.s.</t>
  </si>
  <si>
    <t>Edil Pineta S.r.l</t>
  </si>
  <si>
    <t>Edil Ponteggi Taranto S.r.l</t>
  </si>
  <si>
    <t>Edil Serio S.r.l</t>
  </si>
  <si>
    <t>Edil Service Ponteggi S.r.l</t>
  </si>
  <si>
    <t>Edil4 S.r.l</t>
  </si>
  <si>
    <t>Edilbergamasca S.r.l</t>
  </si>
  <si>
    <t>Edilferri S.p.A</t>
  </si>
  <si>
    <t>Edilizia Verga S.r.l.</t>
  </si>
  <si>
    <t>Edilmel S.r.l</t>
  </si>
  <si>
    <t>Edilnoleggi Valente Piacenza S.r.l</t>
  </si>
  <si>
    <t>Edilpielle S.r.l</t>
  </si>
  <si>
    <t>Edilponteggi S.a.s</t>
  </si>
  <si>
    <t>Edilrebecca S.r.l</t>
  </si>
  <si>
    <t>EdilTecno Restauri S.r.l</t>
  </si>
  <si>
    <t>El Gouhary Mohamed</t>
  </si>
  <si>
    <t>Epis &amp; C. S.r.l</t>
  </si>
  <si>
    <t>Evalto &amp; Randon S.r.l</t>
  </si>
  <si>
    <t>Externa S.p.A</t>
  </si>
  <si>
    <t>Flooring S.r.l</t>
  </si>
  <si>
    <t>FPM Pubblicita'  S.r.l</t>
  </si>
  <si>
    <t>G.Z. Ponteggi di Abdellatif Ghazali</t>
  </si>
  <si>
    <t>Gmt Group S.r.l</t>
  </si>
  <si>
    <t>Grassi &amp; Crespi S.r.l</t>
  </si>
  <si>
    <t>Gruppo Di Falco S.r.l</t>
  </si>
  <si>
    <t>GS Ponteggi Snc</t>
  </si>
  <si>
    <t>I.CO.MA S.a.s. di Mariani Angelo e C</t>
  </si>
  <si>
    <t>Ima di Anello Ignazio</t>
  </si>
  <si>
    <t>Immobiliare Lube</t>
  </si>
  <si>
    <t>Immobiliare M.A.R. S.r.l</t>
  </si>
  <si>
    <t>Impresa Edile De Carli Andrea S.r.l</t>
  </si>
  <si>
    <t>Impresa Edile Edward Dibarbora S.r.l</t>
  </si>
  <si>
    <t>Impresa Edile Lomazzo S.r.l</t>
  </si>
  <si>
    <t>Impresa F.lli Buono &amp; figli S.r.l</t>
  </si>
  <si>
    <t>Impresa Fossati di Geom.  Fossati Carlo</t>
  </si>
  <si>
    <t>Impresa Ziliani S.r.l</t>
  </si>
  <si>
    <t>Kryalos SGR S.p.A</t>
  </si>
  <si>
    <t>La Ogliastra S.r.l</t>
  </si>
  <si>
    <t>La Rosa S.r.l</t>
  </si>
  <si>
    <t xml:space="preserve">LEA S.r.l </t>
  </si>
  <si>
    <t>M.S. Ponteggi S.r.l</t>
  </si>
  <si>
    <t>M.Z. Ponteggi S.r.l</t>
  </si>
  <si>
    <t>Ma.Va. Costruzioni S.r.l</t>
  </si>
  <si>
    <t>Macchiarulo S.r.l</t>
  </si>
  <si>
    <t>Malara S.A.S.  di Pasquale Romito &amp; C</t>
  </si>
  <si>
    <t xml:space="preserve">Mangiavacchi Pedercini S.p.A </t>
  </si>
  <si>
    <t>Marconi Restauri S.r.l</t>
  </si>
  <si>
    <t>Marfor Ponteggi S.r.l</t>
  </si>
  <si>
    <t>Martino Costruzioni S.r.l</t>
  </si>
  <si>
    <t>Mazzalveri &amp; Comelli S.p.A</t>
  </si>
  <si>
    <t>MBA Costruzioni S.r.l</t>
  </si>
  <si>
    <t>MeBa Ponteggi Snc</t>
  </si>
  <si>
    <t>MG Ponteggi di Abdelmawla Walid</t>
  </si>
  <si>
    <t>Negri &amp; Co.  S.r.l</t>
  </si>
  <si>
    <t>New Edil S.r.l</t>
  </si>
  <si>
    <t>Newcoms S.a.s</t>
  </si>
  <si>
    <t>Novak S.r.l</t>
  </si>
  <si>
    <t>One S.r.l</t>
  </si>
  <si>
    <t>P.F. Ponteggi S.r.l</t>
  </si>
  <si>
    <t>Pirovano Costruzioni Generali S.r.l</t>
  </si>
  <si>
    <t>Policos S.r.l</t>
  </si>
  <si>
    <t>Polis S.r.l</t>
  </si>
  <si>
    <t>Ponteggi Agos S.r.l</t>
  </si>
  <si>
    <t>Ponteggi Anteor 2000 S.n.C</t>
  </si>
  <si>
    <t>Ponteggi Minnella Domenico S.r.l</t>
  </si>
  <si>
    <t>Ponteggi Mondial Pont di Salem Ayman Ali' Hassane</t>
  </si>
  <si>
    <t>Ponteggi Orlando e Fanari S.r.l</t>
  </si>
  <si>
    <t>Ponteggi Proietti S.r.l</t>
  </si>
  <si>
    <t>Printable S.r.l</t>
  </si>
  <si>
    <t>Progetto Ponteggi S.r.l</t>
  </si>
  <si>
    <t>Reale Immobili S.p.A</t>
  </si>
  <si>
    <t>Respedil S.r.l</t>
  </si>
  <si>
    <t>Rover S.r.l</t>
  </si>
  <si>
    <t>S.a.i.e. S.p.A</t>
  </si>
  <si>
    <t>S.C.R.D. Sant'Antonio S.r.l</t>
  </si>
  <si>
    <t>S.p.Azio immagine S.r.l</t>
  </si>
  <si>
    <t>Sapa S.r.l</t>
  </si>
  <si>
    <t>Savills Investment Management S.G.R. S.p.A</t>
  </si>
  <si>
    <t>Sclavi Costruzioni Generali S.r.l</t>
  </si>
  <si>
    <t>Seven S.r.l</t>
  </si>
  <si>
    <t>Sigeco 80 S.r.l</t>
  </si>
  <si>
    <t>Sigma Ponteggi S.r.l</t>
  </si>
  <si>
    <t>SMA Costruzioni S.r.l</t>
  </si>
  <si>
    <t>T.A.G. S.r.l</t>
  </si>
  <si>
    <t>Te.via S.r.l</t>
  </si>
  <si>
    <t>Team Edilizia S.r.l</t>
  </si>
  <si>
    <t>Tecnico Ponteggi S.r.l</t>
  </si>
  <si>
    <t>Tecnoedil</t>
  </si>
  <si>
    <t>Tecnomontaggi S.a.s. di Mohamed Ahmed Gomaa El Roubi</t>
  </si>
  <si>
    <t>Tecnoponteggi Edili S.r.l</t>
  </si>
  <si>
    <t>Teicos Costruzioni S.r.l</t>
  </si>
  <si>
    <t>The Life Belt S.r.l</t>
  </si>
  <si>
    <t>Timenow multiservice S.r.l.s</t>
  </si>
  <si>
    <t>Tomasoni Ponteggi S.r.l</t>
  </si>
  <si>
    <t>TSM Termoacoustic S.r.l</t>
  </si>
  <si>
    <t>Uguccioni Ponteggi S.r.l</t>
  </si>
  <si>
    <t>Uno-P S.r.l</t>
  </si>
  <si>
    <t>Urban Vision S.p.A</t>
  </si>
  <si>
    <t>Vi.gevano Ponteggi S.r.l</t>
  </si>
  <si>
    <t>Zel Plast S.r.l</t>
  </si>
  <si>
    <t>MPS Costruzioni S.r.l</t>
  </si>
  <si>
    <t>Merotto Bau S.r.l.</t>
  </si>
  <si>
    <t>VG Pubblicità S.r.l</t>
  </si>
  <si>
    <t>Vignale S.r.l</t>
  </si>
  <si>
    <t>V.Fer S.r.l</t>
  </si>
  <si>
    <t>TMC Pubblicita' S.r.l</t>
  </si>
  <si>
    <t>Orlando e Fanari S.r.l</t>
  </si>
  <si>
    <t>Restauri Lomazzo S.r.l</t>
  </si>
  <si>
    <t>Streetvox S.r.l</t>
  </si>
  <si>
    <t>34/2019/PO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</si>
</sst>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&quot;€&quot;\ #,##0.00;\-&quot;€&quot;\ #,##0.00"/>
    <numFmt numFmtId="165" formatCode="_(&quot;€&quot;* #,##0.00_);_(&quot;€&quot;* \(#,##0.00\);_(&quot;€&quot;* &quot;-&quot;??_);_(@_)"/>
    <numFmt numFmtId="166" formatCode="[$€-410]&quot; &quot;#,##0.00;[Red]&quot;-&quot;[$€-410]&quot; &quot;#,##0.00"/>
    <numFmt numFmtId="167" formatCode="dd/mm/yy;@"/>
    <numFmt numFmtId="168" formatCode="h:mm;@"/>
    <numFmt numFmtId="169" formatCode="[$-F800]dddd\,\ mmmm\ dd\,\ yyyy"/>
    <numFmt numFmtId="170" formatCode="&quot;€&quot;\ #,##0.00"/>
    <numFmt numFmtId="171" formatCode="0.000%"/>
  </numFmts>
  <fonts count="9" x14ac:knownFonts="1">
    <font>
      <sz val="11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>
      <alignment horizontal="center"/>
    </xf>
    <xf numFmtId="0" fontId="1" fillId="0" borderId="0">
      <alignment horizontal="center" textRotation="90"/>
    </xf>
    <xf numFmtId="0" fontId="2" fillId="0" borderId="0"/>
    <xf numFmtId="166" fontId="2" fillId="0" borderId="0"/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32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11" xfId="0" applyBorder="1"/>
    <xf numFmtId="0" fontId="0" fillId="0" borderId="9" xfId="0" applyBorder="1"/>
    <xf numFmtId="0" fontId="0" fillId="0" borderId="7" xfId="0" applyBorder="1"/>
    <xf numFmtId="0" fontId="0" fillId="0" borderId="12" xfId="0" applyBorder="1"/>
    <xf numFmtId="0" fontId="0" fillId="0" borderId="10" xfId="0" applyBorder="1"/>
    <xf numFmtId="0" fontId="0" fillId="0" borderId="2" xfId="0" applyBorder="1"/>
    <xf numFmtId="0" fontId="0" fillId="0" borderId="8" xfId="0" applyBorder="1"/>
    <xf numFmtId="0" fontId="0" fillId="0" borderId="8" xfId="0" applyBorder="1" applyAlignment="1">
      <alignment wrapText="1"/>
    </xf>
    <xf numFmtId="0" fontId="0" fillId="0" borderId="3" xfId="0" applyBorder="1"/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164" fontId="0" fillId="0" borderId="0" xfId="0" applyNumberFormat="1"/>
    <xf numFmtId="169" fontId="0" fillId="0" borderId="1" xfId="0" applyNumberFormat="1" applyBorder="1"/>
    <xf numFmtId="169" fontId="0" fillId="5" borderId="1" xfId="0" applyNumberFormat="1" applyFill="1" applyBorder="1"/>
    <xf numFmtId="170" fontId="0" fillId="5" borderId="1" xfId="5" applyNumberFormat="1" applyFont="1" applyFill="1" applyBorder="1" applyAlignment="1">
      <alignment horizontal="right" vertical="center"/>
    </xf>
    <xf numFmtId="164" fontId="0" fillId="5" borderId="1" xfId="0" applyNumberFormat="1" applyFill="1" applyBorder="1"/>
    <xf numFmtId="170" fontId="0" fillId="5" borderId="1" xfId="0" applyNumberFormat="1" applyFill="1" applyBorder="1" applyAlignment="1">
      <alignment horizontal="right" vertical="center"/>
    </xf>
    <xf numFmtId="165" fontId="0" fillId="5" borderId="1" xfId="5" applyFont="1" applyFill="1" applyBorder="1"/>
    <xf numFmtId="0" fontId="0" fillId="0" borderId="1" xfId="0" applyBorder="1" applyAlignment="1">
      <alignment horizontal="right"/>
    </xf>
    <xf numFmtId="170" fontId="0" fillId="0" borderId="1" xfId="0" applyNumberFormat="1" applyBorder="1"/>
    <xf numFmtId="170" fontId="0" fillId="5" borderId="1" xfId="0" applyNumberFormat="1" applyFill="1" applyBorder="1"/>
    <xf numFmtId="170" fontId="0" fillId="4" borderId="1" xfId="0" applyNumberFormat="1" applyFill="1" applyBorder="1"/>
    <xf numFmtId="0" fontId="0" fillId="5" borderId="1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7" borderId="1" xfId="0" applyFill="1" applyBorder="1" applyAlignment="1">
      <alignment horizontal="right"/>
    </xf>
    <xf numFmtId="0" fontId="0" fillId="7" borderId="1" xfId="0" applyFill="1" applyBorder="1"/>
    <xf numFmtId="0" fontId="0" fillId="6" borderId="1" xfId="0" applyFill="1" applyBorder="1" applyAlignment="1">
      <alignment horizontal="right"/>
    </xf>
    <xf numFmtId="0" fontId="0" fillId="6" borderId="1" xfId="0" applyFill="1" applyBorder="1"/>
    <xf numFmtId="0" fontId="0" fillId="5" borderId="2" xfId="0" applyFill="1" applyBorder="1" applyAlignment="1">
      <alignment horizontal="center" vertical="center"/>
    </xf>
    <xf numFmtId="0" fontId="7" fillId="0" borderId="0" xfId="0" applyFont="1"/>
    <xf numFmtId="164" fontId="5" fillId="0" borderId="0" xfId="0" applyNumberFormat="1" applyFont="1"/>
    <xf numFmtId="0" fontId="7" fillId="0" borderId="0" xfId="0" applyFont="1" applyAlignment="1">
      <alignment horizontal="center" vertical="center"/>
    </xf>
    <xf numFmtId="171" fontId="0" fillId="0" borderId="0" xfId="6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0" borderId="0" xfId="0" applyNumberFormat="1"/>
    <xf numFmtId="170" fontId="0" fillId="0" borderId="1" xfId="5" applyNumberFormat="1" applyFont="1" applyBorder="1" applyAlignment="1">
      <alignment horizontal="right" vertical="center"/>
    </xf>
    <xf numFmtId="164" fontId="0" fillId="0" borderId="1" xfId="0" applyNumberFormat="1" applyBorder="1"/>
    <xf numFmtId="170" fontId="0" fillId="0" borderId="1" xfId="0" applyNumberFormat="1" applyBorder="1" applyAlignment="1">
      <alignment horizontal="right" vertical="center"/>
    </xf>
    <xf numFmtId="165" fontId="0" fillId="0" borderId="1" xfId="5" applyFont="1" applyBorder="1"/>
    <xf numFmtId="0" fontId="0" fillId="8" borderId="3" xfId="0" applyFill="1" applyBorder="1"/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/>
    </xf>
    <xf numFmtId="0" fontId="0" fillId="0" borderId="0" xfId="0" applyAlignment="1">
      <alignment horizontal="right"/>
    </xf>
    <xf numFmtId="170" fontId="0" fillId="0" borderId="0" xfId="0" applyNumberFormat="1"/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9" borderId="23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3" fillId="11" borderId="21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0" fillId="11" borderId="26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0" fillId="12" borderId="1" xfId="0" applyFill="1" applyBorder="1"/>
    <xf numFmtId="0" fontId="3" fillId="11" borderId="19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170" fontId="0" fillId="2" borderId="1" xfId="0" applyNumberFormat="1" applyFill="1" applyBorder="1"/>
    <xf numFmtId="44" fontId="0" fillId="0" borderId="0" xfId="0" applyNumberFormat="1"/>
    <xf numFmtId="170" fontId="0" fillId="0" borderId="1" xfId="5" applyNumberFormat="1" applyFont="1" applyFill="1" applyBorder="1" applyAlignment="1">
      <alignment horizontal="right" vertical="center"/>
    </xf>
    <xf numFmtId="164" fontId="0" fillId="0" borderId="1" xfId="0" applyNumberFormat="1" applyFill="1" applyBorder="1"/>
    <xf numFmtId="169" fontId="0" fillId="0" borderId="1" xfId="0" applyNumberFormat="1" applyFill="1" applyBorder="1"/>
    <xf numFmtId="170" fontId="0" fillId="0" borderId="1" xfId="0" applyNumberFormat="1" applyFill="1" applyBorder="1" applyAlignment="1">
      <alignment horizontal="right" vertical="center"/>
    </xf>
    <xf numFmtId="165" fontId="0" fillId="0" borderId="1" xfId="5" applyFont="1" applyFill="1" applyBorder="1"/>
    <xf numFmtId="169" fontId="0" fillId="0" borderId="1" xfId="0" applyNumberFormat="1" applyFont="1" applyFill="1" applyBorder="1"/>
    <xf numFmtId="169" fontId="0" fillId="5" borderId="1" xfId="0" applyNumberFormat="1" applyFont="1" applyFill="1" applyBorder="1"/>
    <xf numFmtId="0" fontId="0" fillId="0" borderId="0" xfId="0" applyFill="1"/>
    <xf numFmtId="0" fontId="0" fillId="0" borderId="0" xfId="0" applyFill="1" applyBorder="1"/>
    <xf numFmtId="0" fontId="0" fillId="0" borderId="0" xfId="0" applyBorder="1"/>
    <xf numFmtId="0" fontId="0" fillId="10" borderId="25" xfId="0" applyFill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7" fontId="0" fillId="0" borderId="0" xfId="0" applyNumberFormat="1"/>
    <xf numFmtId="0" fontId="0" fillId="11" borderId="1" xfId="0" applyFill="1" applyBorder="1" applyAlignment="1">
      <alignment horizontal="center" vertical="center"/>
    </xf>
    <xf numFmtId="0" fontId="0" fillId="11" borderId="27" xfId="0" applyFill="1" applyBorder="1" applyAlignment="1">
      <alignment horizontal="center" vertical="center"/>
    </xf>
    <xf numFmtId="169" fontId="0" fillId="0" borderId="1" xfId="0" applyNumberFormat="1" applyFont="1" applyBorder="1"/>
    <xf numFmtId="0" fontId="5" fillId="9" borderId="18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right"/>
    </xf>
    <xf numFmtId="0" fontId="0" fillId="9" borderId="1" xfId="0" applyFill="1" applyBorder="1"/>
    <xf numFmtId="0" fontId="0" fillId="5" borderId="5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 wrapText="1"/>
    </xf>
    <xf numFmtId="167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168" fontId="3" fillId="3" borderId="1" xfId="0" applyNumberFormat="1" applyFont="1" applyFill="1" applyBorder="1" applyAlignment="1">
      <alignment horizontal="center" vertical="center" wrapText="1"/>
    </xf>
    <xf numFmtId="165" fontId="3" fillId="3" borderId="1" xfId="5" applyFont="1" applyFill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 vertical="center"/>
    </xf>
    <xf numFmtId="168" fontId="3" fillId="0" borderId="1" xfId="0" applyNumberFormat="1" applyFont="1" applyBorder="1" applyAlignment="1">
      <alignment horizontal="center" vertical="center"/>
    </xf>
    <xf numFmtId="165" fontId="3" fillId="0" borderId="1" xfId="5" applyFont="1" applyBorder="1" applyAlignment="1">
      <alignment horizontal="center" vertical="center"/>
    </xf>
    <xf numFmtId="0" fontId="0" fillId="0" borderId="1" xfId="0" applyBorder="1"/>
    <xf numFmtId="0" fontId="0" fillId="9" borderId="29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/>
    </xf>
    <xf numFmtId="165" fontId="4" fillId="3" borderId="1" xfId="5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14" fontId="3" fillId="0" borderId="1" xfId="0" applyNumberFormat="1" applyFont="1" applyBorder="1" applyAlignment="1">
      <alignment horizontal="center" vertical="center"/>
    </xf>
  </cellXfs>
  <cellStyles count="7">
    <cellStyle name="Heading" xfId="1" xr:uid="{00000000-0005-0000-0000-000000000000}"/>
    <cellStyle name="Heading1" xfId="2" xr:uid="{00000000-0005-0000-0000-000001000000}"/>
    <cellStyle name="Normale" xfId="0" builtinId="0" customBuiltin="1"/>
    <cellStyle name="Percentuale" xfId="6" builtinId="5"/>
    <cellStyle name="Result" xfId="3" xr:uid="{00000000-0005-0000-0000-000004000000}"/>
    <cellStyle name="Result2" xfId="4" xr:uid="{00000000-0005-0000-0000-000005000000}"/>
    <cellStyle name="Valuta" xfId="5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Gennaio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2019-1'!$A$1:$A$31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2019-1'!$B$1:$B$30</c:f>
              <c:numCache>
                <c:formatCode>"€"\ #,##0.00</c:formatCode>
                <c:ptCount val="30"/>
                <c:pt idx="0">
                  <c:v>0</c:v>
                </c:pt>
                <c:pt idx="1">
                  <c:v>254.54545454545453</c:v>
                </c:pt>
                <c:pt idx="2">
                  <c:v>254.54545454545453</c:v>
                </c:pt>
                <c:pt idx="3">
                  <c:v>254.54545454545453</c:v>
                </c:pt>
                <c:pt idx="4">
                  <c:v>0</c:v>
                </c:pt>
                <c:pt idx="5">
                  <c:v>0</c:v>
                </c:pt>
                <c:pt idx="6">
                  <c:v>254.54545454545453</c:v>
                </c:pt>
                <c:pt idx="7">
                  <c:v>254.54545454545453</c:v>
                </c:pt>
                <c:pt idx="8">
                  <c:v>254.54545454545453</c:v>
                </c:pt>
                <c:pt idx="9">
                  <c:v>254.54545454545453</c:v>
                </c:pt>
                <c:pt idx="10">
                  <c:v>254.54545454545453</c:v>
                </c:pt>
                <c:pt idx="11">
                  <c:v>0</c:v>
                </c:pt>
                <c:pt idx="12">
                  <c:v>0</c:v>
                </c:pt>
                <c:pt idx="13">
                  <c:v>254.54545454545453</c:v>
                </c:pt>
                <c:pt idx="14">
                  <c:v>254.54545454545453</c:v>
                </c:pt>
                <c:pt idx="15">
                  <c:v>254.54545454545453</c:v>
                </c:pt>
                <c:pt idx="16">
                  <c:v>254.54545454545453</c:v>
                </c:pt>
                <c:pt idx="17">
                  <c:v>254.54545454545453</c:v>
                </c:pt>
                <c:pt idx="18">
                  <c:v>0</c:v>
                </c:pt>
                <c:pt idx="19">
                  <c:v>0</c:v>
                </c:pt>
                <c:pt idx="20">
                  <c:v>254.54545454545453</c:v>
                </c:pt>
                <c:pt idx="21">
                  <c:v>254.54545454545453</c:v>
                </c:pt>
                <c:pt idx="22">
                  <c:v>254.54545454545453</c:v>
                </c:pt>
                <c:pt idx="23">
                  <c:v>254.54545454545453</c:v>
                </c:pt>
                <c:pt idx="24">
                  <c:v>254.54545454545453</c:v>
                </c:pt>
                <c:pt idx="25">
                  <c:v>0</c:v>
                </c:pt>
                <c:pt idx="26">
                  <c:v>0</c:v>
                </c:pt>
                <c:pt idx="27">
                  <c:v>254.54545454545453</c:v>
                </c:pt>
                <c:pt idx="28">
                  <c:v>254.54545454545453</c:v>
                </c:pt>
                <c:pt idx="29">
                  <c:v>254.54545454545453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7D-4513-8DD0-9040D5B7156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2019-1'!$A$1:$A$31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2019-1'!$C$1:$C$31</c:f>
              <c:numCache>
                <c:formatCode>"€"\ #,##0.00;\-"€"\ #,##0.00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0</c:v>
                </c:pt>
                <c:pt idx="5">
                  <c:v>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0</c:v>
                </c:pt>
                <c:pt idx="12">
                  <c:v>0</c:v>
                </c:pt>
                <c:pt idx="13">
                  <c:v>1350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1350</c:v>
                </c:pt>
                <c:pt idx="18">
                  <c:v>0</c:v>
                </c:pt>
                <c:pt idx="19">
                  <c:v>0</c:v>
                </c:pt>
                <c:pt idx="20">
                  <c:v>1350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1350</c:v>
                </c:pt>
                <c:pt idx="25">
                  <c:v>0</c:v>
                </c:pt>
                <c:pt idx="26">
                  <c:v>0</c:v>
                </c:pt>
                <c:pt idx="27">
                  <c:v>1350</c:v>
                </c:pt>
                <c:pt idx="28">
                  <c:v>1350</c:v>
                </c:pt>
                <c:pt idx="29">
                  <c:v>1350</c:v>
                </c:pt>
                <c:pt idx="30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7D-4513-8DD0-9040D5B71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Gennaio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2019-1'!$A$33:$A$63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2019-1'!$B$33:$B$63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254.54545454545453</c:v>
                </c:pt>
                <c:pt idx="2">
                  <c:v>509.09090909090907</c:v>
                </c:pt>
                <c:pt idx="3">
                  <c:v>763.63636363636363</c:v>
                </c:pt>
                <c:pt idx="4">
                  <c:v>763.63636363636363</c:v>
                </c:pt>
                <c:pt idx="5">
                  <c:v>763.63636363636363</c:v>
                </c:pt>
                <c:pt idx="6">
                  <c:v>1018.1818181818181</c:v>
                </c:pt>
                <c:pt idx="7">
                  <c:v>1272.7272727272727</c:v>
                </c:pt>
                <c:pt idx="8">
                  <c:v>1527.2727272727273</c:v>
                </c:pt>
                <c:pt idx="9">
                  <c:v>1781.8181818181818</c:v>
                </c:pt>
                <c:pt idx="10">
                  <c:v>2036.3636363636363</c:v>
                </c:pt>
                <c:pt idx="11">
                  <c:v>2036.3636363636363</c:v>
                </c:pt>
                <c:pt idx="12">
                  <c:v>2036.3636363636363</c:v>
                </c:pt>
                <c:pt idx="13">
                  <c:v>2290.909090909091</c:v>
                </c:pt>
                <c:pt idx="14">
                  <c:v>2545.4545454545455</c:v>
                </c:pt>
                <c:pt idx="15">
                  <c:v>2800</c:v>
                </c:pt>
                <c:pt idx="16">
                  <c:v>3054.5454545454545</c:v>
                </c:pt>
                <c:pt idx="17">
                  <c:v>3309.090909090909</c:v>
                </c:pt>
                <c:pt idx="18">
                  <c:v>3309.090909090909</c:v>
                </c:pt>
                <c:pt idx="19">
                  <c:v>3309.090909090909</c:v>
                </c:pt>
                <c:pt idx="20">
                  <c:v>3563.6363636363635</c:v>
                </c:pt>
                <c:pt idx="21">
                  <c:v>3818.181818181818</c:v>
                </c:pt>
                <c:pt idx="22">
                  <c:v>4072.7272727272725</c:v>
                </c:pt>
                <c:pt idx="23">
                  <c:v>4327.272727272727</c:v>
                </c:pt>
                <c:pt idx="24">
                  <c:v>4581.818181818182</c:v>
                </c:pt>
                <c:pt idx="25">
                  <c:v>4581.818181818182</c:v>
                </c:pt>
                <c:pt idx="26">
                  <c:v>4581.818181818182</c:v>
                </c:pt>
                <c:pt idx="27">
                  <c:v>4836.3636363636369</c:v>
                </c:pt>
                <c:pt idx="28">
                  <c:v>5090.9090909090919</c:v>
                </c:pt>
                <c:pt idx="29">
                  <c:v>5345.4545454545469</c:v>
                </c:pt>
                <c:pt idx="30">
                  <c:v>5600.0000000000018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41-430A-BD61-2C74FDC342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2019-1'!$A$33:$A$63</c:f>
              <c:numCache>
                <c:formatCode>[$-F800]dddd\,\ mmmm\ dd\,\ 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'Riepilogo 2019-1'!$C$33:$C$63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2700</c:v>
                </c:pt>
                <c:pt idx="3">
                  <c:v>4050</c:v>
                </c:pt>
                <c:pt idx="4">
                  <c:v>4050</c:v>
                </c:pt>
                <c:pt idx="5">
                  <c:v>4050</c:v>
                </c:pt>
                <c:pt idx="6">
                  <c:v>5400</c:v>
                </c:pt>
                <c:pt idx="7">
                  <c:v>6750</c:v>
                </c:pt>
                <c:pt idx="8">
                  <c:v>8100</c:v>
                </c:pt>
                <c:pt idx="9">
                  <c:v>9450</c:v>
                </c:pt>
                <c:pt idx="10">
                  <c:v>10800</c:v>
                </c:pt>
                <c:pt idx="11">
                  <c:v>10800</c:v>
                </c:pt>
                <c:pt idx="12">
                  <c:v>10800</c:v>
                </c:pt>
                <c:pt idx="13">
                  <c:v>12150</c:v>
                </c:pt>
                <c:pt idx="14">
                  <c:v>13500</c:v>
                </c:pt>
                <c:pt idx="15">
                  <c:v>14850</c:v>
                </c:pt>
                <c:pt idx="16">
                  <c:v>16200</c:v>
                </c:pt>
                <c:pt idx="17">
                  <c:v>17550</c:v>
                </c:pt>
                <c:pt idx="18">
                  <c:v>17550</c:v>
                </c:pt>
                <c:pt idx="19">
                  <c:v>17550</c:v>
                </c:pt>
                <c:pt idx="20">
                  <c:v>18900</c:v>
                </c:pt>
                <c:pt idx="21">
                  <c:v>20250</c:v>
                </c:pt>
                <c:pt idx="22">
                  <c:v>21600</c:v>
                </c:pt>
                <c:pt idx="23">
                  <c:v>22950</c:v>
                </c:pt>
                <c:pt idx="24">
                  <c:v>24300</c:v>
                </c:pt>
                <c:pt idx="25">
                  <c:v>24300</c:v>
                </c:pt>
                <c:pt idx="26">
                  <c:v>24300</c:v>
                </c:pt>
                <c:pt idx="27">
                  <c:v>25650</c:v>
                </c:pt>
                <c:pt idx="28">
                  <c:v>27000</c:v>
                </c:pt>
                <c:pt idx="29">
                  <c:v>28350</c:v>
                </c:pt>
                <c:pt idx="30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41-430A-BD61-2C74FDC3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Febbraio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2019-2'!$A$1:$A$31</c:f>
              <c:numCache>
                <c:formatCode>[$-F800]dddd\,\ mmmm\ dd\,\ yyyy</c:formatCode>
                <c:ptCount val="31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2019-2'!$B$1:$B$28</c:f>
              <c:numCache>
                <c:formatCode>"€"\ #,##0.00</c:formatCode>
                <c:ptCount val="28"/>
                <c:pt idx="0">
                  <c:v>280</c:v>
                </c:pt>
                <c:pt idx="1">
                  <c:v>0</c:v>
                </c:pt>
                <c:pt idx="2">
                  <c:v>0</c:v>
                </c:pt>
                <c:pt idx="3">
                  <c:v>280</c:v>
                </c:pt>
                <c:pt idx="4">
                  <c:v>280</c:v>
                </c:pt>
                <c:pt idx="5">
                  <c:v>280</c:v>
                </c:pt>
                <c:pt idx="6">
                  <c:v>280</c:v>
                </c:pt>
                <c:pt idx="7">
                  <c:v>280</c:v>
                </c:pt>
                <c:pt idx="8">
                  <c:v>0</c:v>
                </c:pt>
                <c:pt idx="9">
                  <c:v>0</c:v>
                </c:pt>
                <c:pt idx="10">
                  <c:v>280</c:v>
                </c:pt>
                <c:pt idx="11">
                  <c:v>280</c:v>
                </c:pt>
                <c:pt idx="12">
                  <c:v>280</c:v>
                </c:pt>
                <c:pt idx="13">
                  <c:v>280</c:v>
                </c:pt>
                <c:pt idx="14">
                  <c:v>280</c:v>
                </c:pt>
                <c:pt idx="15">
                  <c:v>0</c:v>
                </c:pt>
                <c:pt idx="16">
                  <c:v>0</c:v>
                </c:pt>
                <c:pt idx="17">
                  <c:v>280</c:v>
                </c:pt>
                <c:pt idx="18">
                  <c:v>280</c:v>
                </c:pt>
                <c:pt idx="19">
                  <c:v>280</c:v>
                </c:pt>
                <c:pt idx="20">
                  <c:v>280</c:v>
                </c:pt>
                <c:pt idx="21">
                  <c:v>280</c:v>
                </c:pt>
                <c:pt idx="22">
                  <c:v>0</c:v>
                </c:pt>
                <c:pt idx="23">
                  <c:v>0</c:v>
                </c:pt>
                <c:pt idx="24">
                  <c:v>280</c:v>
                </c:pt>
                <c:pt idx="25">
                  <c:v>280</c:v>
                </c:pt>
                <c:pt idx="26">
                  <c:v>280</c:v>
                </c:pt>
                <c:pt idx="27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9F-4DE9-B4A3-BA97534399D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2019-2'!$A$1:$A$31</c:f>
              <c:numCache>
                <c:formatCode>[$-F800]dddd\,\ mmmm\ dd\,\ yyyy</c:formatCode>
                <c:ptCount val="31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2019-2'!$C$1:$C$28</c:f>
              <c:numCache>
                <c:formatCode>"€"\ #,##0.00;\-"€"\ #,##0.00</c:formatCode>
                <c:ptCount val="28"/>
                <c:pt idx="0">
                  <c:v>1350</c:v>
                </c:pt>
                <c:pt idx="1">
                  <c:v>0</c:v>
                </c:pt>
                <c:pt idx="2">
                  <c:v>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0</c:v>
                </c:pt>
                <c:pt idx="9">
                  <c:v>0</c:v>
                </c:pt>
                <c:pt idx="10">
                  <c:v>1350</c:v>
                </c:pt>
                <c:pt idx="11">
                  <c:v>1350</c:v>
                </c:pt>
                <c:pt idx="12">
                  <c:v>1350</c:v>
                </c:pt>
                <c:pt idx="13">
                  <c:v>1350</c:v>
                </c:pt>
                <c:pt idx="14">
                  <c:v>1350</c:v>
                </c:pt>
                <c:pt idx="15">
                  <c:v>0</c:v>
                </c:pt>
                <c:pt idx="16">
                  <c:v>0</c:v>
                </c:pt>
                <c:pt idx="17">
                  <c:v>1350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0</c:v>
                </c:pt>
                <c:pt idx="23">
                  <c:v>0</c:v>
                </c:pt>
                <c:pt idx="24">
                  <c:v>1350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9F-4DE9-B4A3-BA975343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Febbraio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2019-2'!$A$33:$A$60</c:f>
              <c:numCache>
                <c:formatCode>[$-F800]dddd\,\ mmmm\ dd\,\ yyyy</c:formatCode>
                <c:ptCount val="28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2019-2'!$B$33:$B$60</c:f>
              <c:numCache>
                <c:formatCode>_("€"* #,##0.00_);_("€"* \(#,##0.00\);_("€"* "-"??_);_(@_)</c:formatCode>
                <c:ptCount val="28"/>
                <c:pt idx="0">
                  <c:v>680</c:v>
                </c:pt>
                <c:pt idx="1">
                  <c:v>680</c:v>
                </c:pt>
                <c:pt idx="2">
                  <c:v>680</c:v>
                </c:pt>
                <c:pt idx="3">
                  <c:v>960</c:v>
                </c:pt>
                <c:pt idx="4">
                  <c:v>1240</c:v>
                </c:pt>
                <c:pt idx="5">
                  <c:v>1520</c:v>
                </c:pt>
                <c:pt idx="6">
                  <c:v>1800</c:v>
                </c:pt>
                <c:pt idx="7">
                  <c:v>2080</c:v>
                </c:pt>
                <c:pt idx="8">
                  <c:v>2080</c:v>
                </c:pt>
                <c:pt idx="9">
                  <c:v>2080</c:v>
                </c:pt>
                <c:pt idx="10">
                  <c:v>2360</c:v>
                </c:pt>
                <c:pt idx="11">
                  <c:v>2640</c:v>
                </c:pt>
                <c:pt idx="12">
                  <c:v>2920</c:v>
                </c:pt>
                <c:pt idx="13">
                  <c:v>3200</c:v>
                </c:pt>
                <c:pt idx="14">
                  <c:v>3480</c:v>
                </c:pt>
                <c:pt idx="15">
                  <c:v>3480</c:v>
                </c:pt>
                <c:pt idx="16">
                  <c:v>3480</c:v>
                </c:pt>
                <c:pt idx="17">
                  <c:v>3760</c:v>
                </c:pt>
                <c:pt idx="18">
                  <c:v>4040</c:v>
                </c:pt>
                <c:pt idx="19">
                  <c:v>4320</c:v>
                </c:pt>
                <c:pt idx="20">
                  <c:v>4600</c:v>
                </c:pt>
                <c:pt idx="21">
                  <c:v>4880</c:v>
                </c:pt>
                <c:pt idx="22">
                  <c:v>4880</c:v>
                </c:pt>
                <c:pt idx="23">
                  <c:v>4880</c:v>
                </c:pt>
                <c:pt idx="24">
                  <c:v>5160</c:v>
                </c:pt>
                <c:pt idx="25">
                  <c:v>5440</c:v>
                </c:pt>
                <c:pt idx="26">
                  <c:v>5720</c:v>
                </c:pt>
                <c:pt idx="27">
                  <c:v>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00-41C3-88BD-B88FF45485F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2019-2'!$A$33:$A$60</c:f>
              <c:numCache>
                <c:formatCode>[$-F800]dddd\,\ mmmm\ dd\,\ yyyy</c:formatCode>
                <c:ptCount val="28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43500</c:v>
                </c:pt>
                <c:pt idx="4">
                  <c:v>43501</c:v>
                </c:pt>
                <c:pt idx="5">
                  <c:v>43502</c:v>
                </c:pt>
                <c:pt idx="6">
                  <c:v>43503</c:v>
                </c:pt>
                <c:pt idx="7">
                  <c:v>43504</c:v>
                </c:pt>
                <c:pt idx="8">
                  <c:v>43505</c:v>
                </c:pt>
                <c:pt idx="9">
                  <c:v>43506</c:v>
                </c:pt>
                <c:pt idx="10">
                  <c:v>43507</c:v>
                </c:pt>
                <c:pt idx="11">
                  <c:v>43508</c:v>
                </c:pt>
                <c:pt idx="12">
                  <c:v>43509</c:v>
                </c:pt>
                <c:pt idx="13">
                  <c:v>43510</c:v>
                </c:pt>
                <c:pt idx="14">
                  <c:v>43511</c:v>
                </c:pt>
                <c:pt idx="15">
                  <c:v>43512</c:v>
                </c:pt>
                <c:pt idx="16">
                  <c:v>43513</c:v>
                </c:pt>
                <c:pt idx="17">
                  <c:v>43514</c:v>
                </c:pt>
                <c:pt idx="18">
                  <c:v>43515</c:v>
                </c:pt>
                <c:pt idx="19">
                  <c:v>43516</c:v>
                </c:pt>
                <c:pt idx="20">
                  <c:v>43517</c:v>
                </c:pt>
                <c:pt idx="21">
                  <c:v>43518</c:v>
                </c:pt>
                <c:pt idx="22">
                  <c:v>43519</c:v>
                </c:pt>
                <c:pt idx="23">
                  <c:v>43520</c:v>
                </c:pt>
                <c:pt idx="24">
                  <c:v>43521</c:v>
                </c:pt>
                <c:pt idx="25">
                  <c:v>43522</c:v>
                </c:pt>
                <c:pt idx="26">
                  <c:v>43523</c:v>
                </c:pt>
                <c:pt idx="27">
                  <c:v>43524</c:v>
                </c:pt>
              </c:numCache>
            </c:numRef>
          </c:cat>
          <c:val>
            <c:numRef>
              <c:f>'Riepilogo 2019-2'!$C$33:$C$60</c:f>
              <c:numCache>
                <c:formatCode>_("€"* #,##0.00_);_("€"* \(#,##0.00\);_("€"* "-"??_);_(@_)</c:formatCode>
                <c:ptCount val="28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9450</c:v>
                </c:pt>
                <c:pt idx="11">
                  <c:v>10800</c:v>
                </c:pt>
                <c:pt idx="12">
                  <c:v>12150</c:v>
                </c:pt>
                <c:pt idx="13">
                  <c:v>13500</c:v>
                </c:pt>
                <c:pt idx="14">
                  <c:v>14850</c:v>
                </c:pt>
                <c:pt idx="15">
                  <c:v>14850</c:v>
                </c:pt>
                <c:pt idx="16">
                  <c:v>14850</c:v>
                </c:pt>
                <c:pt idx="17">
                  <c:v>16200</c:v>
                </c:pt>
                <c:pt idx="18">
                  <c:v>17550</c:v>
                </c:pt>
                <c:pt idx="19">
                  <c:v>18900</c:v>
                </c:pt>
                <c:pt idx="20">
                  <c:v>20250</c:v>
                </c:pt>
                <c:pt idx="21">
                  <c:v>21600</c:v>
                </c:pt>
                <c:pt idx="22">
                  <c:v>21600</c:v>
                </c:pt>
                <c:pt idx="23">
                  <c:v>21600</c:v>
                </c:pt>
                <c:pt idx="24">
                  <c:v>22950</c:v>
                </c:pt>
                <c:pt idx="25">
                  <c:v>24300</c:v>
                </c:pt>
                <c:pt idx="26">
                  <c:v>25650</c:v>
                </c:pt>
                <c:pt idx="27">
                  <c:v>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00-41C3-88BD-B88FF4548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Marzo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2019-3'!$A$1:$A$31</c:f>
              <c:numCache>
                <c:formatCode>[$-F800]dddd\,\ mmmm\ dd\,\ yyyy</c:formatCode>
                <c:ptCount val="31"/>
                <c:pt idx="0">
                  <c:v>43525</c:v>
                </c:pt>
                <c:pt idx="1">
                  <c:v>43526</c:v>
                </c:pt>
                <c:pt idx="2">
                  <c:v>43527</c:v>
                </c:pt>
                <c:pt idx="3">
                  <c:v>43528</c:v>
                </c:pt>
                <c:pt idx="4">
                  <c:v>43529</c:v>
                </c:pt>
                <c:pt idx="5">
                  <c:v>43530</c:v>
                </c:pt>
                <c:pt idx="6">
                  <c:v>43531</c:v>
                </c:pt>
                <c:pt idx="7">
                  <c:v>43532</c:v>
                </c:pt>
                <c:pt idx="8">
                  <c:v>43533</c:v>
                </c:pt>
                <c:pt idx="9">
                  <c:v>43534</c:v>
                </c:pt>
                <c:pt idx="10">
                  <c:v>43535</c:v>
                </c:pt>
                <c:pt idx="11">
                  <c:v>43536</c:v>
                </c:pt>
                <c:pt idx="12">
                  <c:v>43537</c:v>
                </c:pt>
                <c:pt idx="13">
                  <c:v>43538</c:v>
                </c:pt>
                <c:pt idx="14">
                  <c:v>43539</c:v>
                </c:pt>
                <c:pt idx="15">
                  <c:v>43540</c:v>
                </c:pt>
                <c:pt idx="16">
                  <c:v>43541</c:v>
                </c:pt>
                <c:pt idx="17">
                  <c:v>43542</c:v>
                </c:pt>
                <c:pt idx="18">
                  <c:v>43543</c:v>
                </c:pt>
                <c:pt idx="19">
                  <c:v>43544</c:v>
                </c:pt>
                <c:pt idx="20">
                  <c:v>43545</c:v>
                </c:pt>
                <c:pt idx="21">
                  <c:v>43546</c:v>
                </c:pt>
                <c:pt idx="22">
                  <c:v>43547</c:v>
                </c:pt>
                <c:pt idx="23">
                  <c:v>43548</c:v>
                </c:pt>
                <c:pt idx="24">
                  <c:v>43549</c:v>
                </c:pt>
                <c:pt idx="25">
                  <c:v>43550</c:v>
                </c:pt>
                <c:pt idx="26">
                  <c:v>43551</c:v>
                </c:pt>
                <c:pt idx="27">
                  <c:v>43552</c:v>
                </c:pt>
                <c:pt idx="28">
                  <c:v>43553</c:v>
                </c:pt>
                <c:pt idx="29">
                  <c:v>43554</c:v>
                </c:pt>
                <c:pt idx="30">
                  <c:v>43555</c:v>
                </c:pt>
              </c:numCache>
            </c:numRef>
          </c:cat>
          <c:val>
            <c:numRef>
              <c:f>'Riepilogo 2019-3'!$B$1:$B$31</c:f>
              <c:numCache>
                <c:formatCode>"€"\ #,##0.00</c:formatCode>
                <c:ptCount val="31"/>
                <c:pt idx="0">
                  <c:v>266.66666666666669</c:v>
                </c:pt>
                <c:pt idx="1">
                  <c:v>0</c:v>
                </c:pt>
                <c:pt idx="2">
                  <c:v>0</c:v>
                </c:pt>
                <c:pt idx="3">
                  <c:v>266.66666666666669</c:v>
                </c:pt>
                <c:pt idx="4">
                  <c:v>266.66666666666669</c:v>
                </c:pt>
                <c:pt idx="5">
                  <c:v>266.66666666666669</c:v>
                </c:pt>
                <c:pt idx="6">
                  <c:v>266.66666666666669</c:v>
                </c:pt>
                <c:pt idx="7">
                  <c:v>266.66666666666669</c:v>
                </c:pt>
                <c:pt idx="8">
                  <c:v>0</c:v>
                </c:pt>
                <c:pt idx="9">
                  <c:v>0</c:v>
                </c:pt>
                <c:pt idx="10">
                  <c:v>266.66666666666669</c:v>
                </c:pt>
                <c:pt idx="11">
                  <c:v>266.66666666666669</c:v>
                </c:pt>
                <c:pt idx="12">
                  <c:v>266.66666666666669</c:v>
                </c:pt>
                <c:pt idx="13">
                  <c:v>266.66666666666669</c:v>
                </c:pt>
                <c:pt idx="14">
                  <c:v>266.66666666666669</c:v>
                </c:pt>
                <c:pt idx="15">
                  <c:v>0</c:v>
                </c:pt>
                <c:pt idx="16">
                  <c:v>0</c:v>
                </c:pt>
                <c:pt idx="17">
                  <c:v>266.66666666666669</c:v>
                </c:pt>
                <c:pt idx="18">
                  <c:v>266.66666666666669</c:v>
                </c:pt>
                <c:pt idx="19">
                  <c:v>266.66666666666669</c:v>
                </c:pt>
                <c:pt idx="20">
                  <c:v>266.66666666666669</c:v>
                </c:pt>
                <c:pt idx="21">
                  <c:v>266.66666666666669</c:v>
                </c:pt>
                <c:pt idx="22">
                  <c:v>0</c:v>
                </c:pt>
                <c:pt idx="23">
                  <c:v>0</c:v>
                </c:pt>
                <c:pt idx="24">
                  <c:v>266.66666666666669</c:v>
                </c:pt>
                <c:pt idx="25">
                  <c:v>266.66666666666669</c:v>
                </c:pt>
                <c:pt idx="26">
                  <c:v>266.66666666666669</c:v>
                </c:pt>
                <c:pt idx="27">
                  <c:v>266.66666666666669</c:v>
                </c:pt>
                <c:pt idx="28">
                  <c:v>266.66666666666669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66-42CB-B24E-26F244FBE6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2019-3'!$A$1:$A$31</c:f>
              <c:numCache>
                <c:formatCode>[$-F800]dddd\,\ mmmm\ dd\,\ yyyy</c:formatCode>
                <c:ptCount val="31"/>
                <c:pt idx="0">
                  <c:v>43525</c:v>
                </c:pt>
                <c:pt idx="1">
                  <c:v>43526</c:v>
                </c:pt>
                <c:pt idx="2">
                  <c:v>43527</c:v>
                </c:pt>
                <c:pt idx="3">
                  <c:v>43528</c:v>
                </c:pt>
                <c:pt idx="4">
                  <c:v>43529</c:v>
                </c:pt>
                <c:pt idx="5">
                  <c:v>43530</c:v>
                </c:pt>
                <c:pt idx="6">
                  <c:v>43531</c:v>
                </c:pt>
                <c:pt idx="7">
                  <c:v>43532</c:v>
                </c:pt>
                <c:pt idx="8">
                  <c:v>43533</c:v>
                </c:pt>
                <c:pt idx="9">
                  <c:v>43534</c:v>
                </c:pt>
                <c:pt idx="10">
                  <c:v>43535</c:v>
                </c:pt>
                <c:pt idx="11">
                  <c:v>43536</c:v>
                </c:pt>
                <c:pt idx="12">
                  <c:v>43537</c:v>
                </c:pt>
                <c:pt idx="13">
                  <c:v>43538</c:v>
                </c:pt>
                <c:pt idx="14">
                  <c:v>43539</c:v>
                </c:pt>
                <c:pt idx="15">
                  <c:v>43540</c:v>
                </c:pt>
                <c:pt idx="16">
                  <c:v>43541</c:v>
                </c:pt>
                <c:pt idx="17">
                  <c:v>43542</c:v>
                </c:pt>
                <c:pt idx="18">
                  <c:v>43543</c:v>
                </c:pt>
                <c:pt idx="19">
                  <c:v>43544</c:v>
                </c:pt>
                <c:pt idx="20">
                  <c:v>43545</c:v>
                </c:pt>
                <c:pt idx="21">
                  <c:v>43546</c:v>
                </c:pt>
                <c:pt idx="22">
                  <c:v>43547</c:v>
                </c:pt>
                <c:pt idx="23">
                  <c:v>43548</c:v>
                </c:pt>
                <c:pt idx="24">
                  <c:v>43549</c:v>
                </c:pt>
                <c:pt idx="25">
                  <c:v>43550</c:v>
                </c:pt>
                <c:pt idx="26">
                  <c:v>43551</c:v>
                </c:pt>
                <c:pt idx="27">
                  <c:v>43552</c:v>
                </c:pt>
                <c:pt idx="28">
                  <c:v>43553</c:v>
                </c:pt>
                <c:pt idx="29">
                  <c:v>43554</c:v>
                </c:pt>
                <c:pt idx="30">
                  <c:v>43555</c:v>
                </c:pt>
              </c:numCache>
            </c:numRef>
          </c:cat>
          <c:val>
            <c:numRef>
              <c:f>'Riepilogo 2019-3'!$C$1:$C$31</c:f>
              <c:numCache>
                <c:formatCode>"€"\ #,##0.00;\-"€"\ #,##0.00</c:formatCode>
                <c:ptCount val="31"/>
                <c:pt idx="0">
                  <c:v>1350</c:v>
                </c:pt>
                <c:pt idx="1">
                  <c:v>0</c:v>
                </c:pt>
                <c:pt idx="2">
                  <c:v>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0</c:v>
                </c:pt>
                <c:pt idx="9">
                  <c:v>0</c:v>
                </c:pt>
                <c:pt idx="10">
                  <c:v>1350</c:v>
                </c:pt>
                <c:pt idx="11">
                  <c:v>1350</c:v>
                </c:pt>
                <c:pt idx="12">
                  <c:v>1350</c:v>
                </c:pt>
                <c:pt idx="13">
                  <c:v>1350</c:v>
                </c:pt>
                <c:pt idx="14">
                  <c:v>1350</c:v>
                </c:pt>
                <c:pt idx="15">
                  <c:v>0</c:v>
                </c:pt>
                <c:pt idx="16">
                  <c:v>0</c:v>
                </c:pt>
                <c:pt idx="17">
                  <c:v>1350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0</c:v>
                </c:pt>
                <c:pt idx="23">
                  <c:v>0</c:v>
                </c:pt>
                <c:pt idx="24">
                  <c:v>1350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  <c:pt idx="28">
                  <c:v>1350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66-42CB-B24E-26F244FBE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Marzo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2019-3'!$A$33:$A$63</c:f>
              <c:numCache>
                <c:formatCode>[$-F800]dddd\,\ mmmm\ dd\,\ yyyy</c:formatCode>
                <c:ptCount val="31"/>
                <c:pt idx="0">
                  <c:v>43525</c:v>
                </c:pt>
                <c:pt idx="1">
                  <c:v>43526</c:v>
                </c:pt>
                <c:pt idx="2">
                  <c:v>43527</c:v>
                </c:pt>
                <c:pt idx="3">
                  <c:v>43528</c:v>
                </c:pt>
                <c:pt idx="4">
                  <c:v>43529</c:v>
                </c:pt>
                <c:pt idx="5">
                  <c:v>43530</c:v>
                </c:pt>
                <c:pt idx="6">
                  <c:v>43531</c:v>
                </c:pt>
                <c:pt idx="7">
                  <c:v>43532</c:v>
                </c:pt>
                <c:pt idx="8">
                  <c:v>43533</c:v>
                </c:pt>
                <c:pt idx="9">
                  <c:v>43534</c:v>
                </c:pt>
                <c:pt idx="10">
                  <c:v>43535</c:v>
                </c:pt>
                <c:pt idx="11">
                  <c:v>43536</c:v>
                </c:pt>
                <c:pt idx="12">
                  <c:v>43537</c:v>
                </c:pt>
                <c:pt idx="13">
                  <c:v>43538</c:v>
                </c:pt>
                <c:pt idx="14">
                  <c:v>43539</c:v>
                </c:pt>
                <c:pt idx="15">
                  <c:v>43540</c:v>
                </c:pt>
                <c:pt idx="16">
                  <c:v>43541</c:v>
                </c:pt>
                <c:pt idx="17">
                  <c:v>43542</c:v>
                </c:pt>
                <c:pt idx="18">
                  <c:v>43543</c:v>
                </c:pt>
                <c:pt idx="19">
                  <c:v>43544</c:v>
                </c:pt>
                <c:pt idx="20">
                  <c:v>43545</c:v>
                </c:pt>
                <c:pt idx="21">
                  <c:v>43546</c:v>
                </c:pt>
                <c:pt idx="22">
                  <c:v>43547</c:v>
                </c:pt>
                <c:pt idx="23">
                  <c:v>43548</c:v>
                </c:pt>
                <c:pt idx="24">
                  <c:v>43549</c:v>
                </c:pt>
                <c:pt idx="25">
                  <c:v>43550</c:v>
                </c:pt>
                <c:pt idx="26">
                  <c:v>43551</c:v>
                </c:pt>
                <c:pt idx="27">
                  <c:v>43552</c:v>
                </c:pt>
                <c:pt idx="28">
                  <c:v>43553</c:v>
                </c:pt>
                <c:pt idx="29">
                  <c:v>43554</c:v>
                </c:pt>
                <c:pt idx="30">
                  <c:v>43555</c:v>
                </c:pt>
              </c:numCache>
            </c:numRef>
          </c:cat>
          <c:val>
            <c:numRef>
              <c:f>'Riepilogo 2019-3'!$B$33:$B$63</c:f>
              <c:numCache>
                <c:formatCode>_("€"* #,##0.00_);_("€"* \(#,##0.00\);_("€"* "-"??_);_(@_)</c:formatCode>
                <c:ptCount val="31"/>
                <c:pt idx="0">
                  <c:v>266.66666666666669</c:v>
                </c:pt>
                <c:pt idx="1">
                  <c:v>266.66666666666669</c:v>
                </c:pt>
                <c:pt idx="2">
                  <c:v>266.66666666666669</c:v>
                </c:pt>
                <c:pt idx="3">
                  <c:v>533.33333333333337</c:v>
                </c:pt>
                <c:pt idx="4">
                  <c:v>800</c:v>
                </c:pt>
                <c:pt idx="5">
                  <c:v>1066.6666666666667</c:v>
                </c:pt>
                <c:pt idx="6">
                  <c:v>1333.3333333333335</c:v>
                </c:pt>
                <c:pt idx="7">
                  <c:v>1600.0000000000002</c:v>
                </c:pt>
                <c:pt idx="8">
                  <c:v>1600.0000000000002</c:v>
                </c:pt>
                <c:pt idx="9">
                  <c:v>1600.0000000000002</c:v>
                </c:pt>
                <c:pt idx="10">
                  <c:v>1866.666666666667</c:v>
                </c:pt>
                <c:pt idx="11">
                  <c:v>2133.3333333333335</c:v>
                </c:pt>
                <c:pt idx="12">
                  <c:v>2400</c:v>
                </c:pt>
                <c:pt idx="13">
                  <c:v>2666.6666666666665</c:v>
                </c:pt>
                <c:pt idx="14">
                  <c:v>2933.333333333333</c:v>
                </c:pt>
                <c:pt idx="15">
                  <c:v>2933.333333333333</c:v>
                </c:pt>
                <c:pt idx="16">
                  <c:v>2933.333333333333</c:v>
                </c:pt>
                <c:pt idx="17">
                  <c:v>3199.9999999999995</c:v>
                </c:pt>
                <c:pt idx="18">
                  <c:v>3466.6666666666661</c:v>
                </c:pt>
                <c:pt idx="19">
                  <c:v>3733.3333333333326</c:v>
                </c:pt>
                <c:pt idx="20">
                  <c:v>3999.9999999999991</c:v>
                </c:pt>
                <c:pt idx="21">
                  <c:v>4266.6666666666661</c:v>
                </c:pt>
                <c:pt idx="22">
                  <c:v>4266.6666666666661</c:v>
                </c:pt>
                <c:pt idx="23">
                  <c:v>4266.6666666666661</c:v>
                </c:pt>
                <c:pt idx="24">
                  <c:v>4533.333333333333</c:v>
                </c:pt>
                <c:pt idx="25">
                  <c:v>4800</c:v>
                </c:pt>
                <c:pt idx="26">
                  <c:v>5066.666666666667</c:v>
                </c:pt>
                <c:pt idx="27">
                  <c:v>5333.3333333333339</c:v>
                </c:pt>
                <c:pt idx="28">
                  <c:v>5600.0000000000009</c:v>
                </c:pt>
                <c:pt idx="29">
                  <c:v>5600.0000000000009</c:v>
                </c:pt>
                <c:pt idx="30">
                  <c:v>5600.0000000000009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9-4507-B73A-C684E108124F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'Riepilogo 2019-3'!$C$33:$C$63</c:f>
              <c:numCache>
                <c:formatCode>_("€"* #,##0.00_);_("€"* \(#,##0.00\);_("€"* "-"??_);_(@_)</c:formatCode>
                <c:ptCount val="31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9450</c:v>
                </c:pt>
                <c:pt idx="11">
                  <c:v>10800</c:v>
                </c:pt>
                <c:pt idx="12">
                  <c:v>12150</c:v>
                </c:pt>
                <c:pt idx="13">
                  <c:v>13500</c:v>
                </c:pt>
                <c:pt idx="14">
                  <c:v>14850</c:v>
                </c:pt>
                <c:pt idx="15">
                  <c:v>14850</c:v>
                </c:pt>
                <c:pt idx="16">
                  <c:v>14850</c:v>
                </c:pt>
                <c:pt idx="17">
                  <c:v>16200</c:v>
                </c:pt>
                <c:pt idx="18">
                  <c:v>17550</c:v>
                </c:pt>
                <c:pt idx="19">
                  <c:v>18900</c:v>
                </c:pt>
                <c:pt idx="20">
                  <c:v>20250</c:v>
                </c:pt>
                <c:pt idx="21">
                  <c:v>21600</c:v>
                </c:pt>
                <c:pt idx="22">
                  <c:v>21600</c:v>
                </c:pt>
                <c:pt idx="23">
                  <c:v>21600</c:v>
                </c:pt>
                <c:pt idx="24">
                  <c:v>22950</c:v>
                </c:pt>
                <c:pt idx="25">
                  <c:v>24300</c:v>
                </c:pt>
                <c:pt idx="26">
                  <c:v>25650</c:v>
                </c:pt>
                <c:pt idx="27">
                  <c:v>27000</c:v>
                </c:pt>
                <c:pt idx="28">
                  <c:v>28350</c:v>
                </c:pt>
                <c:pt idx="29">
                  <c:v>28350</c:v>
                </c:pt>
                <c:pt idx="30">
                  <c:v>28350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D4-4C28-B897-446368772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Aprile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2019-4'!$A$1:$A$30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2019-4'!$B$1:$B$30</c:f>
              <c:numCache>
                <c:formatCode>"€"\ #,##0.00</c:formatCode>
                <c:ptCount val="30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0</c:v>
                </c:pt>
                <c:pt idx="6">
                  <c:v>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180</c:v>
                </c:pt>
                <c:pt idx="12">
                  <c:v>0</c:v>
                </c:pt>
                <c:pt idx="13">
                  <c:v>0</c:v>
                </c:pt>
                <c:pt idx="14">
                  <c:v>180</c:v>
                </c:pt>
                <c:pt idx="15">
                  <c:v>180</c:v>
                </c:pt>
                <c:pt idx="16">
                  <c:v>180</c:v>
                </c:pt>
                <c:pt idx="17">
                  <c:v>180</c:v>
                </c:pt>
                <c:pt idx="18">
                  <c:v>180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180</c:v>
                </c:pt>
                <c:pt idx="23">
                  <c:v>180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180</c:v>
                </c:pt>
                <c:pt idx="29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169-B9DE-D9FB1204F89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2019-4'!$A$1:$A$30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2019-4'!$C$1:$C$30</c:f>
              <c:numCache>
                <c:formatCode>"€"\ #,##0.00;\-"€"\ #,##0.00</c:formatCode>
                <c:ptCount val="30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0</c:v>
                </c:pt>
                <c:pt idx="6">
                  <c:v>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  <c:pt idx="12">
                  <c:v>0</c:v>
                </c:pt>
                <c:pt idx="13">
                  <c:v>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1350</c:v>
                </c:pt>
                <c:pt idx="18">
                  <c:v>1350</c:v>
                </c:pt>
                <c:pt idx="19">
                  <c:v>0</c:v>
                </c:pt>
                <c:pt idx="20">
                  <c:v>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1350</c:v>
                </c:pt>
                <c:pt idx="25">
                  <c:v>1350</c:v>
                </c:pt>
                <c:pt idx="26">
                  <c:v>0</c:v>
                </c:pt>
                <c:pt idx="27">
                  <c:v>0</c:v>
                </c:pt>
                <c:pt idx="28">
                  <c:v>1350</c:v>
                </c:pt>
                <c:pt idx="29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0-4169-B9DE-D9FB1204F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Aprile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2019-4'!$A$33:$A$62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2019-4'!$B$33:$B$62</c:f>
              <c:numCache>
                <c:formatCode>_("€"* #,##0.00_);_("€"* \(#,##0.00\);_("€"* "-"??_);_(@_)</c:formatCode>
                <c:ptCount val="30"/>
                <c:pt idx="0">
                  <c:v>180</c:v>
                </c:pt>
                <c:pt idx="1">
                  <c:v>360</c:v>
                </c:pt>
                <c:pt idx="2">
                  <c:v>540</c:v>
                </c:pt>
                <c:pt idx="3">
                  <c:v>720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  <c:pt idx="7">
                  <c:v>1080</c:v>
                </c:pt>
                <c:pt idx="8">
                  <c:v>1260</c:v>
                </c:pt>
                <c:pt idx="9">
                  <c:v>1440</c:v>
                </c:pt>
                <c:pt idx="10">
                  <c:v>1620</c:v>
                </c:pt>
                <c:pt idx="11">
                  <c:v>1800</c:v>
                </c:pt>
                <c:pt idx="12">
                  <c:v>1800</c:v>
                </c:pt>
                <c:pt idx="13">
                  <c:v>1800</c:v>
                </c:pt>
                <c:pt idx="14">
                  <c:v>1980</c:v>
                </c:pt>
                <c:pt idx="15">
                  <c:v>2160</c:v>
                </c:pt>
                <c:pt idx="16">
                  <c:v>2340</c:v>
                </c:pt>
                <c:pt idx="17">
                  <c:v>2520</c:v>
                </c:pt>
                <c:pt idx="18">
                  <c:v>2700</c:v>
                </c:pt>
                <c:pt idx="19">
                  <c:v>2700</c:v>
                </c:pt>
                <c:pt idx="20">
                  <c:v>2700</c:v>
                </c:pt>
                <c:pt idx="21">
                  <c:v>2700</c:v>
                </c:pt>
                <c:pt idx="22">
                  <c:v>2880</c:v>
                </c:pt>
                <c:pt idx="23">
                  <c:v>3060</c:v>
                </c:pt>
                <c:pt idx="24">
                  <c:v>3060</c:v>
                </c:pt>
                <c:pt idx="25">
                  <c:v>3060</c:v>
                </c:pt>
                <c:pt idx="26">
                  <c:v>3060</c:v>
                </c:pt>
                <c:pt idx="27">
                  <c:v>3060</c:v>
                </c:pt>
                <c:pt idx="28">
                  <c:v>3240</c:v>
                </c:pt>
                <c:pt idx="29">
                  <c:v>3420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D86-92C2-6CA8FD325073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2019-4'!$A$33:$A$62</c:f>
              <c:numCache>
                <c:formatCode>[$-F800]dddd\,\ mmmm\ dd\,\ yyyy</c:formatCode>
                <c:ptCount val="30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43560</c:v>
                </c:pt>
                <c:pt idx="5">
                  <c:v>43561</c:v>
                </c:pt>
                <c:pt idx="6">
                  <c:v>43562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43568</c:v>
                </c:pt>
                <c:pt idx="13">
                  <c:v>43569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43575</c:v>
                </c:pt>
                <c:pt idx="20">
                  <c:v>43576</c:v>
                </c:pt>
                <c:pt idx="21">
                  <c:v>43577</c:v>
                </c:pt>
                <c:pt idx="22">
                  <c:v>43578</c:v>
                </c:pt>
                <c:pt idx="23">
                  <c:v>43579</c:v>
                </c:pt>
                <c:pt idx="24">
                  <c:v>43580</c:v>
                </c:pt>
                <c:pt idx="25">
                  <c:v>43581</c:v>
                </c:pt>
                <c:pt idx="26">
                  <c:v>43582</c:v>
                </c:pt>
                <c:pt idx="27">
                  <c:v>43583</c:v>
                </c:pt>
                <c:pt idx="28">
                  <c:v>43584</c:v>
                </c:pt>
                <c:pt idx="29">
                  <c:v>43585</c:v>
                </c:pt>
              </c:numCache>
            </c:numRef>
          </c:cat>
          <c:val>
            <c:numRef>
              <c:f>'Riepilogo 2019-4'!$C$33:$C$62</c:f>
              <c:numCache>
                <c:formatCode>_("€"* #,##0.00_);_("€"* \(#,##0.00\);_("€"* "-"??_);_(@_)</c:formatCode>
                <c:ptCount val="30"/>
                <c:pt idx="0">
                  <c:v>1350</c:v>
                </c:pt>
                <c:pt idx="1">
                  <c:v>2700</c:v>
                </c:pt>
                <c:pt idx="2">
                  <c:v>4050</c:v>
                </c:pt>
                <c:pt idx="3">
                  <c:v>5400</c:v>
                </c:pt>
                <c:pt idx="4">
                  <c:v>6750</c:v>
                </c:pt>
                <c:pt idx="5">
                  <c:v>6750</c:v>
                </c:pt>
                <c:pt idx="6">
                  <c:v>6750</c:v>
                </c:pt>
                <c:pt idx="7">
                  <c:v>8100</c:v>
                </c:pt>
                <c:pt idx="8">
                  <c:v>9450</c:v>
                </c:pt>
                <c:pt idx="9">
                  <c:v>10800</c:v>
                </c:pt>
                <c:pt idx="10">
                  <c:v>12150</c:v>
                </c:pt>
                <c:pt idx="11">
                  <c:v>13500</c:v>
                </c:pt>
                <c:pt idx="12">
                  <c:v>13500</c:v>
                </c:pt>
                <c:pt idx="13">
                  <c:v>13500</c:v>
                </c:pt>
                <c:pt idx="14">
                  <c:v>14850</c:v>
                </c:pt>
                <c:pt idx="15">
                  <c:v>16200</c:v>
                </c:pt>
                <c:pt idx="16">
                  <c:v>17550</c:v>
                </c:pt>
                <c:pt idx="17">
                  <c:v>18900</c:v>
                </c:pt>
                <c:pt idx="18">
                  <c:v>20250</c:v>
                </c:pt>
                <c:pt idx="19">
                  <c:v>20250</c:v>
                </c:pt>
                <c:pt idx="20">
                  <c:v>20250</c:v>
                </c:pt>
                <c:pt idx="21">
                  <c:v>21600</c:v>
                </c:pt>
                <c:pt idx="22">
                  <c:v>22950</c:v>
                </c:pt>
                <c:pt idx="23">
                  <c:v>24300</c:v>
                </c:pt>
                <c:pt idx="24">
                  <c:v>25650</c:v>
                </c:pt>
                <c:pt idx="25">
                  <c:v>27000</c:v>
                </c:pt>
                <c:pt idx="26">
                  <c:v>27000</c:v>
                </c:pt>
                <c:pt idx="27">
                  <c:v>27000</c:v>
                </c:pt>
                <c:pt idx="28">
                  <c:v>28350</c:v>
                </c:pt>
                <c:pt idx="29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D86-92C2-6CA8FD325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Maggio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2019-5'!$A$1:$A$31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2019-5'!$B$1:$B$31</c:f>
              <c:numCache>
                <c:formatCode>"€"\ #,##0.00</c:formatCode>
                <c:ptCount val="31"/>
                <c:pt idx="0">
                  <c:v>0</c:v>
                </c:pt>
                <c:pt idx="1">
                  <c:v>163.63636363636363</c:v>
                </c:pt>
                <c:pt idx="2">
                  <c:v>163.63636363636363</c:v>
                </c:pt>
                <c:pt idx="3">
                  <c:v>0</c:v>
                </c:pt>
                <c:pt idx="4">
                  <c:v>0</c:v>
                </c:pt>
                <c:pt idx="5">
                  <c:v>163.63636363636363</c:v>
                </c:pt>
                <c:pt idx="6">
                  <c:v>163.63636363636363</c:v>
                </c:pt>
                <c:pt idx="7">
                  <c:v>163.63636363636363</c:v>
                </c:pt>
                <c:pt idx="8">
                  <c:v>163.63636363636363</c:v>
                </c:pt>
                <c:pt idx="9">
                  <c:v>163.63636363636363</c:v>
                </c:pt>
                <c:pt idx="10">
                  <c:v>0</c:v>
                </c:pt>
                <c:pt idx="11">
                  <c:v>0</c:v>
                </c:pt>
                <c:pt idx="12">
                  <c:v>163.63636363636363</c:v>
                </c:pt>
                <c:pt idx="13">
                  <c:v>163.63636363636363</c:v>
                </c:pt>
                <c:pt idx="14">
                  <c:v>163.63636363636363</c:v>
                </c:pt>
                <c:pt idx="15">
                  <c:v>163.63636363636363</c:v>
                </c:pt>
                <c:pt idx="16">
                  <c:v>163.63636363636363</c:v>
                </c:pt>
                <c:pt idx="17">
                  <c:v>0</c:v>
                </c:pt>
                <c:pt idx="18">
                  <c:v>0</c:v>
                </c:pt>
                <c:pt idx="19">
                  <c:v>163.63636363636363</c:v>
                </c:pt>
                <c:pt idx="20">
                  <c:v>163.63636363636363</c:v>
                </c:pt>
                <c:pt idx="21">
                  <c:v>163.63636363636363</c:v>
                </c:pt>
                <c:pt idx="22">
                  <c:v>163.63636363636363</c:v>
                </c:pt>
                <c:pt idx="23">
                  <c:v>163.63636363636363</c:v>
                </c:pt>
                <c:pt idx="24">
                  <c:v>0</c:v>
                </c:pt>
                <c:pt idx="25">
                  <c:v>0</c:v>
                </c:pt>
                <c:pt idx="26">
                  <c:v>163.63636363636363</c:v>
                </c:pt>
                <c:pt idx="27">
                  <c:v>163.63636363636363</c:v>
                </c:pt>
                <c:pt idx="28">
                  <c:v>163.63636363636363</c:v>
                </c:pt>
                <c:pt idx="29">
                  <c:v>163.63636363636363</c:v>
                </c:pt>
                <c:pt idx="30">
                  <c:v>163.63636363636363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6F-4DB6-9D78-B0BEE741914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2019-5'!$A$1:$A$31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2019-5'!$C$1:$C$31</c:f>
              <c:numCache>
                <c:formatCode>"€"\ #,##0.00;\-"€"\ #,##0.00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1350</c:v>
                </c:pt>
                <c:pt idx="3">
                  <c:v>0</c:v>
                </c:pt>
                <c:pt idx="4">
                  <c:v>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0</c:v>
                </c:pt>
                <c:pt idx="11">
                  <c:v>0</c:v>
                </c:pt>
                <c:pt idx="12">
                  <c:v>1350</c:v>
                </c:pt>
                <c:pt idx="13">
                  <c:v>1350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0</c:v>
                </c:pt>
                <c:pt idx="18">
                  <c:v>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0</c:v>
                </c:pt>
                <c:pt idx="25">
                  <c:v>0</c:v>
                </c:pt>
                <c:pt idx="26">
                  <c:v>1350</c:v>
                </c:pt>
                <c:pt idx="27">
                  <c:v>1350</c:v>
                </c:pt>
                <c:pt idx="28">
                  <c:v>1350</c:v>
                </c:pt>
                <c:pt idx="29">
                  <c:v>1350</c:v>
                </c:pt>
                <c:pt idx="30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6F-4DB6-9D78-B0BEE7419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Maggio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2019-5'!$A$33:$A$63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2019-5'!$B$33:$B$63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163.63636363636363</c:v>
                </c:pt>
                <c:pt idx="2">
                  <c:v>327.27272727272725</c:v>
                </c:pt>
                <c:pt idx="3">
                  <c:v>327.27272727272725</c:v>
                </c:pt>
                <c:pt idx="4">
                  <c:v>327.27272727272725</c:v>
                </c:pt>
                <c:pt idx="5">
                  <c:v>490.90909090909088</c:v>
                </c:pt>
                <c:pt idx="6">
                  <c:v>654.5454545454545</c:v>
                </c:pt>
                <c:pt idx="7">
                  <c:v>818.18181818181813</c:v>
                </c:pt>
                <c:pt idx="8">
                  <c:v>981.81818181818176</c:v>
                </c:pt>
                <c:pt idx="9">
                  <c:v>1145.4545454545455</c:v>
                </c:pt>
                <c:pt idx="10">
                  <c:v>1145.4545454545455</c:v>
                </c:pt>
                <c:pt idx="11">
                  <c:v>1145.4545454545455</c:v>
                </c:pt>
                <c:pt idx="12">
                  <c:v>1309.090909090909</c:v>
                </c:pt>
                <c:pt idx="13">
                  <c:v>1472.7272727272725</c:v>
                </c:pt>
                <c:pt idx="14">
                  <c:v>1636.363636363636</c:v>
                </c:pt>
                <c:pt idx="15">
                  <c:v>1799.9999999999995</c:v>
                </c:pt>
                <c:pt idx="16">
                  <c:v>1963.6363636363631</c:v>
                </c:pt>
                <c:pt idx="17">
                  <c:v>1963.6363636363631</c:v>
                </c:pt>
                <c:pt idx="18">
                  <c:v>1963.6363636363631</c:v>
                </c:pt>
                <c:pt idx="19">
                  <c:v>2127.2727272727266</c:v>
                </c:pt>
                <c:pt idx="20">
                  <c:v>2290.9090909090901</c:v>
                </c:pt>
                <c:pt idx="21">
                  <c:v>2454.5454545454536</c:v>
                </c:pt>
                <c:pt idx="22">
                  <c:v>2618.1818181818171</c:v>
                </c:pt>
                <c:pt idx="23">
                  <c:v>2781.8181818181806</c:v>
                </c:pt>
                <c:pt idx="24">
                  <c:v>2781.8181818181806</c:v>
                </c:pt>
                <c:pt idx="25">
                  <c:v>2781.8181818181806</c:v>
                </c:pt>
                <c:pt idx="26">
                  <c:v>2945.4545454545441</c:v>
                </c:pt>
                <c:pt idx="27">
                  <c:v>3109.0909090909076</c:v>
                </c:pt>
                <c:pt idx="28">
                  <c:v>3272.7272727272712</c:v>
                </c:pt>
                <c:pt idx="29">
                  <c:v>3436.3636363636347</c:v>
                </c:pt>
                <c:pt idx="30">
                  <c:v>3599.9999999999982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3-4391-9B91-8AFDEE54FB3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2019-5'!$A$33:$A$63</c:f>
              <c:numCache>
                <c:formatCode>[$-F800]dddd\,\ mmmm\ dd\,\ yyyy</c:formatCode>
                <c:ptCount val="31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  <c:pt idx="30">
                  <c:v>43616</c:v>
                </c:pt>
              </c:numCache>
            </c:numRef>
          </c:cat>
          <c:val>
            <c:numRef>
              <c:f>'Riepilogo 2019-5'!$C$33:$C$63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1350</c:v>
                </c:pt>
                <c:pt idx="2">
                  <c:v>2700</c:v>
                </c:pt>
                <c:pt idx="3">
                  <c:v>2700</c:v>
                </c:pt>
                <c:pt idx="4">
                  <c:v>2700</c:v>
                </c:pt>
                <c:pt idx="5">
                  <c:v>4050</c:v>
                </c:pt>
                <c:pt idx="6">
                  <c:v>5400</c:v>
                </c:pt>
                <c:pt idx="7">
                  <c:v>6750</c:v>
                </c:pt>
                <c:pt idx="8">
                  <c:v>8100</c:v>
                </c:pt>
                <c:pt idx="9">
                  <c:v>9450</c:v>
                </c:pt>
                <c:pt idx="10">
                  <c:v>9450</c:v>
                </c:pt>
                <c:pt idx="11">
                  <c:v>9450</c:v>
                </c:pt>
                <c:pt idx="12">
                  <c:v>10800</c:v>
                </c:pt>
                <c:pt idx="13">
                  <c:v>12150</c:v>
                </c:pt>
                <c:pt idx="14">
                  <c:v>13500</c:v>
                </c:pt>
                <c:pt idx="15">
                  <c:v>14850</c:v>
                </c:pt>
                <c:pt idx="16">
                  <c:v>16200</c:v>
                </c:pt>
                <c:pt idx="17">
                  <c:v>16200</c:v>
                </c:pt>
                <c:pt idx="18">
                  <c:v>16200</c:v>
                </c:pt>
                <c:pt idx="19">
                  <c:v>17550</c:v>
                </c:pt>
                <c:pt idx="20">
                  <c:v>18900</c:v>
                </c:pt>
                <c:pt idx="21">
                  <c:v>20250</c:v>
                </c:pt>
                <c:pt idx="22">
                  <c:v>21600</c:v>
                </c:pt>
                <c:pt idx="23">
                  <c:v>22950</c:v>
                </c:pt>
                <c:pt idx="24">
                  <c:v>22950</c:v>
                </c:pt>
                <c:pt idx="25">
                  <c:v>22950</c:v>
                </c:pt>
                <c:pt idx="26">
                  <c:v>24300</c:v>
                </c:pt>
                <c:pt idx="27">
                  <c:v>25650</c:v>
                </c:pt>
                <c:pt idx="28">
                  <c:v>27000</c:v>
                </c:pt>
                <c:pt idx="29">
                  <c:v>28350</c:v>
                </c:pt>
                <c:pt idx="30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D3-4391-9B91-8AFDEE54F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Giungo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2019-6'!$A$1:$A$31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2019-6'!$B$1:$B$31</c:f>
              <c:numCache>
                <c:formatCode>"€"\ 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  <c:pt idx="6">
                  <c:v>180</c:v>
                </c:pt>
                <c:pt idx="7">
                  <c:v>0</c:v>
                </c:pt>
                <c:pt idx="8">
                  <c:v>0</c:v>
                </c:pt>
                <c:pt idx="9">
                  <c:v>180</c:v>
                </c:pt>
                <c:pt idx="10">
                  <c:v>180</c:v>
                </c:pt>
                <c:pt idx="11">
                  <c:v>180</c:v>
                </c:pt>
                <c:pt idx="12">
                  <c:v>180</c:v>
                </c:pt>
                <c:pt idx="13">
                  <c:v>180</c:v>
                </c:pt>
                <c:pt idx="14">
                  <c:v>0</c:v>
                </c:pt>
                <c:pt idx="15">
                  <c:v>0</c:v>
                </c:pt>
                <c:pt idx="16">
                  <c:v>180</c:v>
                </c:pt>
                <c:pt idx="17">
                  <c:v>180</c:v>
                </c:pt>
                <c:pt idx="18">
                  <c:v>180</c:v>
                </c:pt>
                <c:pt idx="19">
                  <c:v>180</c:v>
                </c:pt>
                <c:pt idx="20">
                  <c:v>180</c:v>
                </c:pt>
                <c:pt idx="21">
                  <c:v>0</c:v>
                </c:pt>
                <c:pt idx="22">
                  <c:v>0</c:v>
                </c:pt>
                <c:pt idx="23">
                  <c:v>180</c:v>
                </c:pt>
                <c:pt idx="24">
                  <c:v>180</c:v>
                </c:pt>
                <c:pt idx="25">
                  <c:v>180</c:v>
                </c:pt>
                <c:pt idx="26">
                  <c:v>180</c:v>
                </c:pt>
                <c:pt idx="27">
                  <c:v>180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8E-4450-82C6-048E8E4675D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2019-6'!$A$1:$A$31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2019-6'!$C$1:$C$31</c:f>
              <c:numCache>
                <c:formatCode>"€"\ #,##0.00;\-"€"\ 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0</c:v>
                </c:pt>
                <c:pt idx="8">
                  <c:v>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  <c:pt idx="12">
                  <c:v>1350</c:v>
                </c:pt>
                <c:pt idx="13">
                  <c:v>1350</c:v>
                </c:pt>
                <c:pt idx="14">
                  <c:v>0</c:v>
                </c:pt>
                <c:pt idx="15">
                  <c:v>0</c:v>
                </c:pt>
                <c:pt idx="16">
                  <c:v>1350</c:v>
                </c:pt>
                <c:pt idx="17">
                  <c:v>1350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0</c:v>
                </c:pt>
                <c:pt idx="22">
                  <c:v>0</c:v>
                </c:pt>
                <c:pt idx="23">
                  <c:v>1350</c:v>
                </c:pt>
                <c:pt idx="24">
                  <c:v>1350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8E-4450-82C6-048E8E467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Maggio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2019-6'!$A$33:$A$63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2019-6'!$B$33:$B$63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180</c:v>
                </c:pt>
                <c:pt idx="3">
                  <c:v>360</c:v>
                </c:pt>
                <c:pt idx="4">
                  <c:v>540</c:v>
                </c:pt>
                <c:pt idx="5">
                  <c:v>720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1080</c:v>
                </c:pt>
                <c:pt idx="10">
                  <c:v>1260</c:v>
                </c:pt>
                <c:pt idx="11">
                  <c:v>1440</c:v>
                </c:pt>
                <c:pt idx="12">
                  <c:v>1620</c:v>
                </c:pt>
                <c:pt idx="13">
                  <c:v>1800</c:v>
                </c:pt>
                <c:pt idx="14">
                  <c:v>1800</c:v>
                </c:pt>
                <c:pt idx="15">
                  <c:v>1800</c:v>
                </c:pt>
                <c:pt idx="16">
                  <c:v>1980</c:v>
                </c:pt>
                <c:pt idx="17">
                  <c:v>2160</c:v>
                </c:pt>
                <c:pt idx="18">
                  <c:v>2340</c:v>
                </c:pt>
                <c:pt idx="19">
                  <c:v>2520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2880</c:v>
                </c:pt>
                <c:pt idx="24">
                  <c:v>3060</c:v>
                </c:pt>
                <c:pt idx="25">
                  <c:v>3240</c:v>
                </c:pt>
                <c:pt idx="26">
                  <c:v>3420</c:v>
                </c:pt>
                <c:pt idx="27">
                  <c:v>3600</c:v>
                </c:pt>
                <c:pt idx="28">
                  <c:v>3600</c:v>
                </c:pt>
                <c:pt idx="29">
                  <c:v>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4-4C08-B38D-95C74A3F5B0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2019-6'!$A$33:$A$63</c:f>
              <c:numCache>
                <c:formatCode>[$-F800]dddd\,\ mmmm\ dd\,\ yyyy</c:formatCode>
                <c:ptCount val="31"/>
                <c:pt idx="0">
                  <c:v>43617</c:v>
                </c:pt>
                <c:pt idx="1">
                  <c:v>43618</c:v>
                </c:pt>
                <c:pt idx="2">
                  <c:v>43619</c:v>
                </c:pt>
                <c:pt idx="3">
                  <c:v>43620</c:v>
                </c:pt>
                <c:pt idx="4">
                  <c:v>43621</c:v>
                </c:pt>
                <c:pt idx="5">
                  <c:v>43622</c:v>
                </c:pt>
                <c:pt idx="6">
                  <c:v>43623</c:v>
                </c:pt>
                <c:pt idx="7">
                  <c:v>43624</c:v>
                </c:pt>
                <c:pt idx="8">
                  <c:v>43625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43631</c:v>
                </c:pt>
                <c:pt idx="15">
                  <c:v>43632</c:v>
                </c:pt>
                <c:pt idx="16">
                  <c:v>43633</c:v>
                </c:pt>
                <c:pt idx="17">
                  <c:v>43634</c:v>
                </c:pt>
                <c:pt idx="18">
                  <c:v>43635</c:v>
                </c:pt>
                <c:pt idx="19">
                  <c:v>43636</c:v>
                </c:pt>
                <c:pt idx="20">
                  <c:v>43637</c:v>
                </c:pt>
                <c:pt idx="21">
                  <c:v>43638</c:v>
                </c:pt>
                <c:pt idx="22">
                  <c:v>43639</c:v>
                </c:pt>
                <c:pt idx="23">
                  <c:v>43640</c:v>
                </c:pt>
                <c:pt idx="24">
                  <c:v>43641</c:v>
                </c:pt>
                <c:pt idx="25">
                  <c:v>43642</c:v>
                </c:pt>
                <c:pt idx="26">
                  <c:v>43643</c:v>
                </c:pt>
                <c:pt idx="27">
                  <c:v>43644</c:v>
                </c:pt>
                <c:pt idx="28">
                  <c:v>43645</c:v>
                </c:pt>
                <c:pt idx="29">
                  <c:v>43646</c:v>
                </c:pt>
              </c:numCache>
            </c:numRef>
          </c:cat>
          <c:val>
            <c:numRef>
              <c:f>'Riepilogo 2019-6'!$C$33:$C$63</c:f>
              <c:numCache>
                <c:formatCode>_("€"* #,##0.00_);_("€"* \(#,##0.00\);_("€"*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1350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6750</c:v>
                </c:pt>
                <c:pt idx="8">
                  <c:v>6750</c:v>
                </c:pt>
                <c:pt idx="9">
                  <c:v>8100</c:v>
                </c:pt>
                <c:pt idx="10">
                  <c:v>9450</c:v>
                </c:pt>
                <c:pt idx="11">
                  <c:v>10800</c:v>
                </c:pt>
                <c:pt idx="12">
                  <c:v>12150</c:v>
                </c:pt>
                <c:pt idx="13">
                  <c:v>13500</c:v>
                </c:pt>
                <c:pt idx="14">
                  <c:v>13500</c:v>
                </c:pt>
                <c:pt idx="15">
                  <c:v>13500</c:v>
                </c:pt>
                <c:pt idx="16">
                  <c:v>14850</c:v>
                </c:pt>
                <c:pt idx="17">
                  <c:v>16200</c:v>
                </c:pt>
                <c:pt idx="18">
                  <c:v>17550</c:v>
                </c:pt>
                <c:pt idx="19">
                  <c:v>18900</c:v>
                </c:pt>
                <c:pt idx="20">
                  <c:v>20250</c:v>
                </c:pt>
                <c:pt idx="21">
                  <c:v>20250</c:v>
                </c:pt>
                <c:pt idx="22">
                  <c:v>20250</c:v>
                </c:pt>
                <c:pt idx="23">
                  <c:v>21600</c:v>
                </c:pt>
                <c:pt idx="24">
                  <c:v>22950</c:v>
                </c:pt>
                <c:pt idx="25">
                  <c:v>24300</c:v>
                </c:pt>
                <c:pt idx="26">
                  <c:v>25650</c:v>
                </c:pt>
                <c:pt idx="27">
                  <c:v>27000</c:v>
                </c:pt>
                <c:pt idx="28">
                  <c:v>27000</c:v>
                </c:pt>
                <c:pt idx="29">
                  <c:v>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74-4C08-B38D-95C74A3F5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Luglio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2019-7'!$A$1:$A$31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2019-7'!$B$1:$B$31</c:f>
              <c:numCache>
                <c:formatCode>"€"\ #,##0.00</c:formatCode>
                <c:ptCount val="31"/>
                <c:pt idx="0">
                  <c:v>156.52173913043478</c:v>
                </c:pt>
                <c:pt idx="1">
                  <c:v>156.52173913043478</c:v>
                </c:pt>
                <c:pt idx="2">
                  <c:v>156.52173913043478</c:v>
                </c:pt>
                <c:pt idx="3">
                  <c:v>156.52173913043478</c:v>
                </c:pt>
                <c:pt idx="4">
                  <c:v>156.52173913043478</c:v>
                </c:pt>
                <c:pt idx="5">
                  <c:v>0</c:v>
                </c:pt>
                <c:pt idx="6">
                  <c:v>0</c:v>
                </c:pt>
                <c:pt idx="7">
                  <c:v>156.52173913043478</c:v>
                </c:pt>
                <c:pt idx="8">
                  <c:v>156.52173913043478</c:v>
                </c:pt>
                <c:pt idx="9">
                  <c:v>156.52173913043478</c:v>
                </c:pt>
                <c:pt idx="10">
                  <c:v>156.52173913043478</c:v>
                </c:pt>
                <c:pt idx="11">
                  <c:v>156.52173913043478</c:v>
                </c:pt>
                <c:pt idx="12">
                  <c:v>0</c:v>
                </c:pt>
                <c:pt idx="13">
                  <c:v>0</c:v>
                </c:pt>
                <c:pt idx="14">
                  <c:v>156.52173913043478</c:v>
                </c:pt>
                <c:pt idx="15">
                  <c:v>156.52173913043478</c:v>
                </c:pt>
                <c:pt idx="16">
                  <c:v>156.52173913043478</c:v>
                </c:pt>
                <c:pt idx="17">
                  <c:v>156.52173913043478</c:v>
                </c:pt>
                <c:pt idx="18">
                  <c:v>156.52173913043478</c:v>
                </c:pt>
                <c:pt idx="19">
                  <c:v>0</c:v>
                </c:pt>
                <c:pt idx="20">
                  <c:v>0</c:v>
                </c:pt>
                <c:pt idx="21">
                  <c:v>156.52173913043478</c:v>
                </c:pt>
                <c:pt idx="22">
                  <c:v>156.52173913043478</c:v>
                </c:pt>
                <c:pt idx="23">
                  <c:v>156.52173913043478</c:v>
                </c:pt>
                <c:pt idx="24">
                  <c:v>156.52173913043478</c:v>
                </c:pt>
                <c:pt idx="25">
                  <c:v>156.52173913043478</c:v>
                </c:pt>
                <c:pt idx="26">
                  <c:v>0</c:v>
                </c:pt>
                <c:pt idx="27">
                  <c:v>0</c:v>
                </c:pt>
                <c:pt idx="28">
                  <c:v>156.52173913043478</c:v>
                </c:pt>
                <c:pt idx="29">
                  <c:v>156.52173913043478</c:v>
                </c:pt>
                <c:pt idx="30">
                  <c:v>156.52173913043478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8-43C1-9D6B-C14BB4B8B7D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2019-7'!$A$1:$A$31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2019-7'!$C$1:$C$31</c:f>
              <c:numCache>
                <c:formatCode>"€"\ #,##0.00;\-"€"\ #,##0.00</c:formatCode>
                <c:ptCount val="31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0</c:v>
                </c:pt>
                <c:pt idx="6">
                  <c:v>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  <c:pt idx="12">
                  <c:v>0</c:v>
                </c:pt>
                <c:pt idx="13">
                  <c:v>0</c:v>
                </c:pt>
                <c:pt idx="14">
                  <c:v>1350</c:v>
                </c:pt>
                <c:pt idx="15">
                  <c:v>1350</c:v>
                </c:pt>
                <c:pt idx="16">
                  <c:v>1350</c:v>
                </c:pt>
                <c:pt idx="17">
                  <c:v>1350</c:v>
                </c:pt>
                <c:pt idx="18">
                  <c:v>1350</c:v>
                </c:pt>
                <c:pt idx="19">
                  <c:v>0</c:v>
                </c:pt>
                <c:pt idx="20">
                  <c:v>0</c:v>
                </c:pt>
                <c:pt idx="21">
                  <c:v>1350</c:v>
                </c:pt>
                <c:pt idx="22">
                  <c:v>1350</c:v>
                </c:pt>
                <c:pt idx="23">
                  <c:v>1350</c:v>
                </c:pt>
                <c:pt idx="24">
                  <c:v>1350</c:v>
                </c:pt>
                <c:pt idx="25">
                  <c:v>1350</c:v>
                </c:pt>
                <c:pt idx="26">
                  <c:v>0</c:v>
                </c:pt>
                <c:pt idx="27">
                  <c:v>0</c:v>
                </c:pt>
                <c:pt idx="28">
                  <c:v>1350</c:v>
                </c:pt>
                <c:pt idx="29">
                  <c:v>1350</c:v>
                </c:pt>
                <c:pt idx="30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18-43C1-9D6B-C14BB4B8B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Luglio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2019-7'!$A$33:$A$63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2019-7'!$B$33:$B$62</c:f>
              <c:numCache>
                <c:formatCode>_("€"* #,##0.00_);_("€"* \(#,##0.00\);_("€"* "-"??_);_(@_)</c:formatCode>
                <c:ptCount val="30"/>
                <c:pt idx="0">
                  <c:v>156.52173913043478</c:v>
                </c:pt>
                <c:pt idx="1">
                  <c:v>313.04347826086956</c:v>
                </c:pt>
                <c:pt idx="2">
                  <c:v>469.56521739130437</c:v>
                </c:pt>
                <c:pt idx="3">
                  <c:v>626.08695652173913</c:v>
                </c:pt>
                <c:pt idx="4">
                  <c:v>782.60869565217388</c:v>
                </c:pt>
                <c:pt idx="5">
                  <c:v>782.60869565217388</c:v>
                </c:pt>
                <c:pt idx="6">
                  <c:v>782.60869565217388</c:v>
                </c:pt>
                <c:pt idx="7">
                  <c:v>939.13043478260863</c:v>
                </c:pt>
                <c:pt idx="8">
                  <c:v>1095.6521739130435</c:v>
                </c:pt>
                <c:pt idx="9">
                  <c:v>1252.1739130434783</c:v>
                </c:pt>
                <c:pt idx="10">
                  <c:v>1408.695652173913</c:v>
                </c:pt>
                <c:pt idx="11">
                  <c:v>1565.2173913043478</c:v>
                </c:pt>
                <c:pt idx="12">
                  <c:v>1565.2173913043478</c:v>
                </c:pt>
                <c:pt idx="13">
                  <c:v>1565.2173913043478</c:v>
                </c:pt>
                <c:pt idx="14">
                  <c:v>1721.7391304347825</c:v>
                </c:pt>
                <c:pt idx="15">
                  <c:v>1878.2608695652173</c:v>
                </c:pt>
                <c:pt idx="16">
                  <c:v>2034.782608695652</c:v>
                </c:pt>
                <c:pt idx="17">
                  <c:v>2191.304347826087</c:v>
                </c:pt>
                <c:pt idx="18">
                  <c:v>2347.826086956522</c:v>
                </c:pt>
                <c:pt idx="19">
                  <c:v>2347.826086956522</c:v>
                </c:pt>
                <c:pt idx="20">
                  <c:v>2347.826086956522</c:v>
                </c:pt>
                <c:pt idx="21">
                  <c:v>2504.347826086957</c:v>
                </c:pt>
                <c:pt idx="22">
                  <c:v>2660.8695652173919</c:v>
                </c:pt>
                <c:pt idx="23">
                  <c:v>2817.3913043478269</c:v>
                </c:pt>
                <c:pt idx="24">
                  <c:v>2973.9130434782619</c:v>
                </c:pt>
                <c:pt idx="25">
                  <c:v>3130.4347826086969</c:v>
                </c:pt>
                <c:pt idx="26">
                  <c:v>3130.4347826086969</c:v>
                </c:pt>
                <c:pt idx="27">
                  <c:v>3130.4347826086969</c:v>
                </c:pt>
                <c:pt idx="28">
                  <c:v>3286.9565217391319</c:v>
                </c:pt>
                <c:pt idx="29">
                  <c:v>3443.4782608695668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1D-4679-B9DD-F03D51D036DA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2019-7'!$A$33:$A$63</c:f>
              <c:numCache>
                <c:formatCode>[$-F800]dddd\,\ mmmm\ dd\,\ 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'Riepilogo 2019-7'!$C$33:$C$62</c:f>
              <c:numCache>
                <c:formatCode>_("€"* #,##0.00_);_("€"* \(#,##0.00\);_("€"* "-"??_);_(@_)</c:formatCode>
                <c:ptCount val="30"/>
                <c:pt idx="0">
                  <c:v>1350</c:v>
                </c:pt>
                <c:pt idx="1">
                  <c:v>2700</c:v>
                </c:pt>
                <c:pt idx="2">
                  <c:v>4050</c:v>
                </c:pt>
                <c:pt idx="3">
                  <c:v>5400</c:v>
                </c:pt>
                <c:pt idx="4">
                  <c:v>6750</c:v>
                </c:pt>
                <c:pt idx="5">
                  <c:v>6750</c:v>
                </c:pt>
                <c:pt idx="6">
                  <c:v>6750</c:v>
                </c:pt>
                <c:pt idx="7">
                  <c:v>8100</c:v>
                </c:pt>
                <c:pt idx="8">
                  <c:v>9450</c:v>
                </c:pt>
                <c:pt idx="9">
                  <c:v>10800</c:v>
                </c:pt>
                <c:pt idx="10">
                  <c:v>12150</c:v>
                </c:pt>
                <c:pt idx="11">
                  <c:v>13500</c:v>
                </c:pt>
                <c:pt idx="12">
                  <c:v>13500</c:v>
                </c:pt>
                <c:pt idx="13">
                  <c:v>13500</c:v>
                </c:pt>
                <c:pt idx="14">
                  <c:v>14850</c:v>
                </c:pt>
                <c:pt idx="15">
                  <c:v>16200</c:v>
                </c:pt>
                <c:pt idx="16">
                  <c:v>17550</c:v>
                </c:pt>
                <c:pt idx="17">
                  <c:v>18900</c:v>
                </c:pt>
                <c:pt idx="18">
                  <c:v>20250</c:v>
                </c:pt>
                <c:pt idx="19">
                  <c:v>20250</c:v>
                </c:pt>
                <c:pt idx="20">
                  <c:v>20250</c:v>
                </c:pt>
                <c:pt idx="21">
                  <c:v>21600</c:v>
                </c:pt>
                <c:pt idx="22">
                  <c:v>22950</c:v>
                </c:pt>
                <c:pt idx="23">
                  <c:v>24300</c:v>
                </c:pt>
                <c:pt idx="24">
                  <c:v>25650</c:v>
                </c:pt>
                <c:pt idx="25">
                  <c:v>27000</c:v>
                </c:pt>
                <c:pt idx="26">
                  <c:v>27000</c:v>
                </c:pt>
                <c:pt idx="27">
                  <c:v>27000</c:v>
                </c:pt>
                <c:pt idx="28">
                  <c:v>28350</c:v>
                </c:pt>
                <c:pt idx="29">
                  <c:v>29700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1D-4679-B9DD-F03D51D03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Agosto 2019 </a:t>
            </a:r>
            <a:r>
              <a:rPr lang="it-IT" baseline="0"/>
              <a:t>- Produzione giornaliera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67821466643287"/>
          <c:y val="6.0853994490358138E-2"/>
          <c:w val="0.88632178533356709"/>
          <c:h val="0.567414372790178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2019-8'!$A$1:$A$31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2019-8'!$B$1:$B$31</c:f>
              <c:numCache>
                <c:formatCode>"€"\ #,##0.00</c:formatCode>
                <c:ptCount val="31"/>
                <c:pt idx="0">
                  <c:v>211.76470588235293</c:v>
                </c:pt>
                <c:pt idx="1">
                  <c:v>211.76470588235293</c:v>
                </c:pt>
                <c:pt idx="2">
                  <c:v>0</c:v>
                </c:pt>
                <c:pt idx="3">
                  <c:v>0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211.76470588235293</c:v>
                </c:pt>
                <c:pt idx="19">
                  <c:v>211.76470588235293</c:v>
                </c:pt>
                <c:pt idx="20">
                  <c:v>211.76470588235293</c:v>
                </c:pt>
                <c:pt idx="21">
                  <c:v>211.76470588235293</c:v>
                </c:pt>
                <c:pt idx="22">
                  <c:v>211.76470588235293</c:v>
                </c:pt>
                <c:pt idx="23">
                  <c:v>0</c:v>
                </c:pt>
                <c:pt idx="24">
                  <c:v>0</c:v>
                </c:pt>
                <c:pt idx="25">
                  <c:v>211.76470588235293</c:v>
                </c:pt>
                <c:pt idx="26">
                  <c:v>211.76470588235293</c:v>
                </c:pt>
                <c:pt idx="27">
                  <c:v>211.76470588235293</c:v>
                </c:pt>
                <c:pt idx="28">
                  <c:v>211.76470588235293</c:v>
                </c:pt>
                <c:pt idx="29">
                  <c:v>211.76470588235293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C-4BBB-93DC-A0B0D1558A1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2019-8'!$A$1:$A$31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2019-8'!$C$1:$C$31</c:f>
              <c:numCache>
                <c:formatCode>"€"\ #,##0.00;\-"€"\ #,##0.00</c:formatCode>
                <c:ptCount val="31"/>
                <c:pt idx="0">
                  <c:v>1350</c:v>
                </c:pt>
                <c:pt idx="1">
                  <c:v>1350</c:v>
                </c:pt>
                <c:pt idx="2">
                  <c:v>0</c:v>
                </c:pt>
                <c:pt idx="3">
                  <c:v>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1350</c:v>
                </c:pt>
                <c:pt idx="19">
                  <c:v>1350</c:v>
                </c:pt>
                <c:pt idx="20">
                  <c:v>1350</c:v>
                </c:pt>
                <c:pt idx="21">
                  <c:v>1350</c:v>
                </c:pt>
                <c:pt idx="22">
                  <c:v>1350</c:v>
                </c:pt>
                <c:pt idx="23">
                  <c:v>0</c:v>
                </c:pt>
                <c:pt idx="24">
                  <c:v>0</c:v>
                </c:pt>
                <c:pt idx="25">
                  <c:v>1350</c:v>
                </c:pt>
                <c:pt idx="26">
                  <c:v>1350</c:v>
                </c:pt>
                <c:pt idx="27">
                  <c:v>1350</c:v>
                </c:pt>
                <c:pt idx="28">
                  <c:v>1350</c:v>
                </c:pt>
                <c:pt idx="29">
                  <c:v>1350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2C-4BBB-93DC-A0B0D1558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30928"/>
        <c:axId val="240632496"/>
      </c:lineChart>
      <c:dateAx>
        <c:axId val="240630928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2496"/>
        <c:crosses val="autoZero"/>
        <c:auto val="1"/>
        <c:lblOffset val="100"/>
        <c:baseTimeUnit val="days"/>
      </c:dateAx>
      <c:valAx>
        <c:axId val="2406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Agosto 2019- Produzione giornaliera (curva cumulata)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serie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'Riepilogo 2019-8'!$A$33:$A$63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2019-8'!$B$33:$B$62</c:f>
              <c:numCache>
                <c:formatCode>_("€"* #,##0.00_);_("€"* \(#,##0.00\);_("€"* "-"??_);_(@_)</c:formatCode>
                <c:ptCount val="30"/>
                <c:pt idx="0">
                  <c:v>211.76470588235293</c:v>
                </c:pt>
                <c:pt idx="1">
                  <c:v>423.52941176470586</c:v>
                </c:pt>
                <c:pt idx="2">
                  <c:v>423.52941176470586</c:v>
                </c:pt>
                <c:pt idx="3">
                  <c:v>423.52941176470586</c:v>
                </c:pt>
                <c:pt idx="4">
                  <c:v>635.29411764705878</c:v>
                </c:pt>
                <c:pt idx="5">
                  <c:v>847.05882352941171</c:v>
                </c:pt>
                <c:pt idx="6">
                  <c:v>1058.8235294117646</c:v>
                </c:pt>
                <c:pt idx="7">
                  <c:v>1270.5882352941176</c:v>
                </c:pt>
                <c:pt idx="8">
                  <c:v>1482.3529411764705</c:v>
                </c:pt>
                <c:pt idx="9">
                  <c:v>1482.3529411764705</c:v>
                </c:pt>
                <c:pt idx="10">
                  <c:v>1482.3529411764705</c:v>
                </c:pt>
                <c:pt idx="11">
                  <c:v>1482.3529411764705</c:v>
                </c:pt>
                <c:pt idx="12">
                  <c:v>1482.3529411764705</c:v>
                </c:pt>
                <c:pt idx="13">
                  <c:v>1482.3529411764705</c:v>
                </c:pt>
                <c:pt idx="14">
                  <c:v>1482.3529411764705</c:v>
                </c:pt>
                <c:pt idx="15">
                  <c:v>1482.3529411764705</c:v>
                </c:pt>
                <c:pt idx="16">
                  <c:v>1482.3529411764705</c:v>
                </c:pt>
                <c:pt idx="17">
                  <c:v>1482.3529411764705</c:v>
                </c:pt>
                <c:pt idx="18">
                  <c:v>1694.1176470588234</c:v>
                </c:pt>
                <c:pt idx="19">
                  <c:v>1905.8823529411764</c:v>
                </c:pt>
                <c:pt idx="20">
                  <c:v>2117.6470588235293</c:v>
                </c:pt>
                <c:pt idx="21">
                  <c:v>2329.411764705882</c:v>
                </c:pt>
                <c:pt idx="22">
                  <c:v>2541.1764705882351</c:v>
                </c:pt>
                <c:pt idx="23">
                  <c:v>2541.1764705882351</c:v>
                </c:pt>
                <c:pt idx="24">
                  <c:v>2541.1764705882351</c:v>
                </c:pt>
                <c:pt idx="25">
                  <c:v>2752.9411764705883</c:v>
                </c:pt>
                <c:pt idx="26">
                  <c:v>2964.7058823529414</c:v>
                </c:pt>
                <c:pt idx="27">
                  <c:v>3176.4705882352946</c:v>
                </c:pt>
                <c:pt idx="28">
                  <c:v>3388.2352941176478</c:v>
                </c:pt>
                <c:pt idx="29">
                  <c:v>3600.0000000000009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2-4A87-A1F8-29948074D3E1}"/>
            </c:ext>
          </c:extLst>
        </c:ser>
        <c:ser>
          <c:idx val="1"/>
          <c:order val="1"/>
          <c:tx>
            <c:v>Serie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'Riepilogo 2019-8'!$A$33:$A$63</c:f>
              <c:numCache>
                <c:formatCode>[$-F800]dddd\,\ mmmm\ dd\,\ yyyy</c:formatCode>
                <c:ptCount val="31"/>
                <c:pt idx="0">
                  <c:v>43678</c:v>
                </c:pt>
                <c:pt idx="1">
                  <c:v>43679</c:v>
                </c:pt>
                <c:pt idx="2">
                  <c:v>43680</c:v>
                </c:pt>
                <c:pt idx="3">
                  <c:v>43681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43687</c:v>
                </c:pt>
                <c:pt idx="10">
                  <c:v>43688</c:v>
                </c:pt>
                <c:pt idx="11">
                  <c:v>43689</c:v>
                </c:pt>
                <c:pt idx="12">
                  <c:v>43690</c:v>
                </c:pt>
                <c:pt idx="13">
                  <c:v>43691</c:v>
                </c:pt>
                <c:pt idx="14">
                  <c:v>43692</c:v>
                </c:pt>
                <c:pt idx="15">
                  <c:v>43693</c:v>
                </c:pt>
                <c:pt idx="16">
                  <c:v>43694</c:v>
                </c:pt>
                <c:pt idx="17">
                  <c:v>43695</c:v>
                </c:pt>
                <c:pt idx="18">
                  <c:v>43696</c:v>
                </c:pt>
                <c:pt idx="19">
                  <c:v>43697</c:v>
                </c:pt>
                <c:pt idx="20">
                  <c:v>43698</c:v>
                </c:pt>
                <c:pt idx="21">
                  <c:v>43699</c:v>
                </c:pt>
                <c:pt idx="22">
                  <c:v>43700</c:v>
                </c:pt>
                <c:pt idx="23">
                  <c:v>43701</c:v>
                </c:pt>
                <c:pt idx="24">
                  <c:v>43702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43708</c:v>
                </c:pt>
              </c:numCache>
            </c:numRef>
          </c:cat>
          <c:val>
            <c:numRef>
              <c:f>'Riepilogo 2019-8'!$C$33:$C$62</c:f>
              <c:numCache>
                <c:formatCode>_("€"* #,##0.00_);_("€"* \(#,##0.00\);_("€"* "-"??_);_(@_)</c:formatCode>
                <c:ptCount val="30"/>
                <c:pt idx="0">
                  <c:v>1350</c:v>
                </c:pt>
                <c:pt idx="1">
                  <c:v>2700</c:v>
                </c:pt>
                <c:pt idx="2">
                  <c:v>2700</c:v>
                </c:pt>
                <c:pt idx="3">
                  <c:v>2700</c:v>
                </c:pt>
                <c:pt idx="4">
                  <c:v>4050</c:v>
                </c:pt>
                <c:pt idx="5">
                  <c:v>5400</c:v>
                </c:pt>
                <c:pt idx="6">
                  <c:v>6750</c:v>
                </c:pt>
                <c:pt idx="7">
                  <c:v>8100</c:v>
                </c:pt>
                <c:pt idx="8">
                  <c:v>9450</c:v>
                </c:pt>
                <c:pt idx="9">
                  <c:v>9450</c:v>
                </c:pt>
                <c:pt idx="10">
                  <c:v>9450</c:v>
                </c:pt>
                <c:pt idx="11">
                  <c:v>9450</c:v>
                </c:pt>
                <c:pt idx="12">
                  <c:v>9450</c:v>
                </c:pt>
                <c:pt idx="13">
                  <c:v>9450</c:v>
                </c:pt>
                <c:pt idx="14">
                  <c:v>9450</c:v>
                </c:pt>
                <c:pt idx="15">
                  <c:v>9450</c:v>
                </c:pt>
                <c:pt idx="16">
                  <c:v>9450</c:v>
                </c:pt>
                <c:pt idx="17">
                  <c:v>9450</c:v>
                </c:pt>
                <c:pt idx="18">
                  <c:v>10800</c:v>
                </c:pt>
                <c:pt idx="19">
                  <c:v>12150</c:v>
                </c:pt>
                <c:pt idx="20">
                  <c:v>13500</c:v>
                </c:pt>
                <c:pt idx="21">
                  <c:v>14850</c:v>
                </c:pt>
                <c:pt idx="22">
                  <c:v>16200</c:v>
                </c:pt>
                <c:pt idx="23">
                  <c:v>16200</c:v>
                </c:pt>
                <c:pt idx="24">
                  <c:v>16200</c:v>
                </c:pt>
                <c:pt idx="25">
                  <c:v>17550</c:v>
                </c:pt>
                <c:pt idx="26">
                  <c:v>18900</c:v>
                </c:pt>
                <c:pt idx="27">
                  <c:v>20250</c:v>
                </c:pt>
                <c:pt idx="28">
                  <c:v>21600</c:v>
                </c:pt>
                <c:pt idx="29">
                  <c:v>22950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82-4A87-A1F8-29948074D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dateAx>
        <c:axId val="240628576"/>
        <c:scaling>
          <c:orientation val="minMax"/>
        </c:scaling>
        <c:delete val="0"/>
        <c:axPos val="b"/>
        <c:numFmt formatCode="[$-F800]dddd\,\ mmmm\ dd\,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Offset val="100"/>
        <c:baseTimeUnit val="days"/>
      </c:date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Recap</a:t>
            </a:r>
            <a:endParaRPr lang="it-IT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cumulata!$B$1</c:f>
              <c:strCache>
                <c:ptCount val="1"/>
                <c:pt idx="0">
                  <c:v>Raggiunto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cumulata!$A$2:$A$7</c:f>
              <c:strCache>
                <c:ptCount val="6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</c:strCache>
            </c:strRef>
          </c:cat>
          <c:val>
            <c:numRef>
              <c:f>cumulata!$B$2:$B$7</c:f>
              <c:numCache>
                <c:formatCode>"€"#,##0.00_);\("€"#,##0.00\)</c:formatCode>
                <c:ptCount val="6"/>
                <c:pt idx="0">
                  <c:v>18375</c:v>
                </c:pt>
                <c:pt idx="1">
                  <c:v>25120</c:v>
                </c:pt>
                <c:pt idx="2">
                  <c:v>31990.07</c:v>
                </c:pt>
                <c:pt idx="3">
                  <c:v>35030</c:v>
                </c:pt>
                <c:pt idx="4">
                  <c:v>34578.720000000001</c:v>
                </c:pt>
                <c:pt idx="5">
                  <c:v>30290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6C-4246-8285-997F01BCE9FC}"/>
            </c:ext>
          </c:extLst>
        </c:ser>
        <c:ser>
          <c:idx val="1"/>
          <c:order val="1"/>
          <c:tx>
            <c:strRef>
              <c:f>cumulata!$C$1</c:f>
              <c:strCache>
                <c:ptCount val="1"/>
                <c:pt idx="0">
                  <c:v>Obbiettivo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cumulata!$A$2:$A$7</c:f>
              <c:strCache>
                <c:ptCount val="6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</c:strCache>
            </c:strRef>
          </c:cat>
          <c:val>
            <c:numRef>
              <c:f>cumulata!$C$2:$C$7</c:f>
              <c:numCache>
                <c:formatCode>"€"#,##0.00_);\("€"#,##0.00\)</c:formatCode>
                <c:ptCount val="6"/>
                <c:pt idx="0">
                  <c:v>29700</c:v>
                </c:pt>
                <c:pt idx="1">
                  <c:v>27000</c:v>
                </c:pt>
                <c:pt idx="2">
                  <c:v>28350</c:v>
                </c:pt>
                <c:pt idx="3">
                  <c:v>29700</c:v>
                </c:pt>
                <c:pt idx="4">
                  <c:v>29700</c:v>
                </c:pt>
                <c:pt idx="5">
                  <c:v>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6C-4246-8285-997F01BC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Cumulata</a:t>
            </a:r>
            <a:r>
              <a:rPr lang="it-IT" baseline="0"/>
              <a:t> Annuale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cumulata!$B$26</c:f>
              <c:strCache>
                <c:ptCount val="1"/>
                <c:pt idx="0">
                  <c:v>Raggiunto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cumulata!$A$27:$A$38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cumulata!$B$27:$B$38</c:f>
              <c:numCache>
                <c:formatCode>"€"#,##0.00_);\("€"#,##0.00\)</c:formatCode>
                <c:ptCount val="12"/>
                <c:pt idx="0">
                  <c:v>18375</c:v>
                </c:pt>
                <c:pt idx="1">
                  <c:v>43495</c:v>
                </c:pt>
                <c:pt idx="2">
                  <c:v>75485.070000000007</c:v>
                </c:pt>
                <c:pt idx="3">
                  <c:v>110515.07</c:v>
                </c:pt>
                <c:pt idx="4">
                  <c:v>145093.79</c:v>
                </c:pt>
                <c:pt idx="5">
                  <c:v>175383.79</c:v>
                </c:pt>
                <c:pt idx="6">
                  <c:v>195138.76</c:v>
                </c:pt>
                <c:pt idx="7">
                  <c:v>195138.76</c:v>
                </c:pt>
                <c:pt idx="8">
                  <c:v>195138.76</c:v>
                </c:pt>
                <c:pt idx="9">
                  <c:v>195138.76</c:v>
                </c:pt>
                <c:pt idx="10">
                  <c:v>195138.76</c:v>
                </c:pt>
                <c:pt idx="11">
                  <c:v>195138.76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4C-4318-BB8C-9B85ED7EE791}"/>
            </c:ext>
          </c:extLst>
        </c:ser>
        <c:ser>
          <c:idx val="1"/>
          <c:order val="1"/>
          <c:tx>
            <c:strRef>
              <c:f>cumulata!$C$26</c:f>
              <c:strCache>
                <c:ptCount val="1"/>
                <c:pt idx="0">
                  <c:v>Obbiettivo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cumulata!$A$27:$A$38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cumulata!$C$27:$C$38</c:f>
              <c:numCache>
                <c:formatCode>"€"#,##0.00_);\("€"#,##0.00\)</c:formatCode>
                <c:ptCount val="12"/>
                <c:pt idx="0">
                  <c:v>29700</c:v>
                </c:pt>
                <c:pt idx="1">
                  <c:v>56700</c:v>
                </c:pt>
                <c:pt idx="2">
                  <c:v>85050</c:v>
                </c:pt>
                <c:pt idx="3">
                  <c:v>114750</c:v>
                </c:pt>
                <c:pt idx="4">
                  <c:v>144450</c:v>
                </c:pt>
                <c:pt idx="5">
                  <c:v>171450</c:v>
                </c:pt>
                <c:pt idx="6">
                  <c:v>202500</c:v>
                </c:pt>
                <c:pt idx="7">
                  <c:v>202500</c:v>
                </c:pt>
                <c:pt idx="8">
                  <c:v>202500</c:v>
                </c:pt>
                <c:pt idx="9">
                  <c:v>202500</c:v>
                </c:pt>
                <c:pt idx="10">
                  <c:v>202500</c:v>
                </c:pt>
                <c:pt idx="11">
                  <c:v>202500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4C-4318-BB8C-9B85ED7E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cumulata!$C$54</c:f>
              <c:strCache>
                <c:ptCount val="1"/>
                <c:pt idx="0">
                  <c:v>Nuovi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cumulata!$A$55:$A$66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cumulata!$C$55:$C$61</c:f>
              <c:numCache>
                <c:formatCode>General</c:formatCode>
                <c:ptCount val="7"/>
                <c:pt idx="0">
                  <c:v>68</c:v>
                </c:pt>
                <c:pt idx="1">
                  <c:v>114</c:v>
                </c:pt>
                <c:pt idx="2">
                  <c:v>152</c:v>
                </c:pt>
                <c:pt idx="3">
                  <c:v>165</c:v>
                </c:pt>
                <c:pt idx="4">
                  <c:v>133</c:v>
                </c:pt>
                <c:pt idx="5">
                  <c:v>139</c:v>
                </c:pt>
                <c:pt idx="6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CB-465C-97CA-6BB7DD34FA5F}"/>
            </c:ext>
          </c:extLst>
        </c:ser>
        <c:ser>
          <c:idx val="0"/>
          <c:order val="1"/>
          <c:tx>
            <c:strRef>
              <c:f>cumulata!$B$54</c:f>
              <c:strCache>
                <c:ptCount val="1"/>
                <c:pt idx="0">
                  <c:v>Aggiornamenti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cumulata!$A$55:$A$66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cumulata!$B$55:$B$61</c:f>
              <c:numCache>
                <c:formatCode>General</c:formatCode>
                <c:ptCount val="7"/>
                <c:pt idx="0">
                  <c:v>29</c:v>
                </c:pt>
                <c:pt idx="1">
                  <c:v>39</c:v>
                </c:pt>
                <c:pt idx="2">
                  <c:v>51</c:v>
                </c:pt>
                <c:pt idx="3">
                  <c:v>29</c:v>
                </c:pt>
                <c:pt idx="4">
                  <c:v>40</c:v>
                </c:pt>
                <c:pt idx="5">
                  <c:v>58</c:v>
                </c:pt>
                <c:pt idx="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CB-465C-97CA-6BB7DD34F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Cumulata</a:t>
            </a:r>
            <a:r>
              <a:rPr lang="it-IT" baseline="0"/>
              <a:t> Annuale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cumulata!$C$80</c:f>
              <c:strCache>
                <c:ptCount val="1"/>
                <c:pt idx="0">
                  <c:v>Nuovi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cumulata!$A$81:$A$92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cumulata!$C$81:$C$92</c:f>
              <c:numCache>
                <c:formatCode>General</c:formatCode>
                <c:ptCount val="12"/>
                <c:pt idx="0">
                  <c:v>68</c:v>
                </c:pt>
                <c:pt idx="1">
                  <c:v>182</c:v>
                </c:pt>
                <c:pt idx="2">
                  <c:v>334</c:v>
                </c:pt>
                <c:pt idx="3">
                  <c:v>499</c:v>
                </c:pt>
                <c:pt idx="4">
                  <c:v>632</c:v>
                </c:pt>
                <c:pt idx="5">
                  <c:v>771</c:v>
                </c:pt>
                <c:pt idx="6">
                  <c:v>865</c:v>
                </c:pt>
                <c:pt idx="7">
                  <c:v>865</c:v>
                </c:pt>
                <c:pt idx="8">
                  <c:v>865</c:v>
                </c:pt>
                <c:pt idx="9">
                  <c:v>865</c:v>
                </c:pt>
                <c:pt idx="10">
                  <c:v>865</c:v>
                </c:pt>
                <c:pt idx="11">
                  <c:v>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28-45BC-9B17-3E3971EE3129}"/>
            </c:ext>
          </c:extLst>
        </c:ser>
        <c:ser>
          <c:idx val="0"/>
          <c:order val="1"/>
          <c:tx>
            <c:strRef>
              <c:f>cumulata!$B$80</c:f>
              <c:strCache>
                <c:ptCount val="1"/>
                <c:pt idx="0">
                  <c:v>Aggiornamenti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cumulata!$A$81:$A$92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cumulata!$B$81:$B$92</c:f>
              <c:numCache>
                <c:formatCode>General</c:formatCode>
                <c:ptCount val="12"/>
                <c:pt idx="0">
                  <c:v>29</c:v>
                </c:pt>
                <c:pt idx="1">
                  <c:v>68</c:v>
                </c:pt>
                <c:pt idx="2">
                  <c:v>119</c:v>
                </c:pt>
                <c:pt idx="3">
                  <c:v>148</c:v>
                </c:pt>
                <c:pt idx="4">
                  <c:v>188</c:v>
                </c:pt>
                <c:pt idx="5">
                  <c:v>246</c:v>
                </c:pt>
                <c:pt idx="6">
                  <c:v>282</c:v>
                </c:pt>
                <c:pt idx="7">
                  <c:v>282</c:v>
                </c:pt>
                <c:pt idx="8">
                  <c:v>282</c:v>
                </c:pt>
                <c:pt idx="9">
                  <c:v>282</c:v>
                </c:pt>
                <c:pt idx="10">
                  <c:v>282</c:v>
                </c:pt>
                <c:pt idx="11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28-45BC-9B17-3E3971EE3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628576"/>
        <c:axId val="240627792"/>
      </c:lineChart>
      <c:catAx>
        <c:axId val="240628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7792"/>
        <c:crosses val="autoZero"/>
        <c:auto val="1"/>
        <c:lblAlgn val="ctr"/>
        <c:lblOffset val="100"/>
        <c:noMultiLvlLbl val="0"/>
      </c:catAx>
      <c:valAx>
        <c:axId val="24062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06285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EB9DACB-C6FA-4B59-BAA2-193957F4BD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5B417A3-68BE-4DEE-A696-51488B349C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723CA4B9-FB7C-4F9F-A1C3-1F472FB06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CA5674D-127D-4341-B9E4-BE02D11D7C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7BCE204-8047-4937-952C-5306674ED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29E25C77-4966-4F26-AC67-6B8475F89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A720031-52E2-4A5F-A420-1A07E9E85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F040BFA-8D28-4527-8636-181DC839D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1F25493-A61A-426F-9487-C9D20FE70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BF53EA5-0CBD-4B63-A8A4-92E22BA42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5ECFEFFC-112F-41C5-A427-BAB6D2EF5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A2598A95-C3B6-48B4-8440-E69C4CA1B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121920</xdr:rowOff>
    </xdr:from>
    <xdr:to>
      <xdr:col>17</xdr:col>
      <xdr:colOff>816429</xdr:colOff>
      <xdr:row>27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CBAD10-CEFE-4E5B-8586-E7063122E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15240</xdr:rowOff>
    </xdr:from>
    <xdr:to>
      <xdr:col>17</xdr:col>
      <xdr:colOff>870858</xdr:colOff>
      <xdr:row>59</xdr:row>
      <xdr:rowOff>68580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3EB5CEE-B8F0-41F4-9668-33DC78B49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476251</xdr:colOff>
      <xdr:row>4</xdr:row>
      <xdr:rowOff>0</xdr:rowOff>
    </xdr:from>
    <xdr:to>
      <xdr:col>16</xdr:col>
      <xdr:colOff>161925</xdr:colOff>
      <xdr:row>17</xdr:row>
      <xdr:rowOff>171450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C6DC3261-F6D7-44B3-AA7C-A598E7FE7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666750</xdr:colOff>
      <xdr:row>21</xdr:row>
      <xdr:rowOff>38100</xdr:rowOff>
    </xdr:from>
    <xdr:to>
      <xdr:col>21</xdr:col>
      <xdr:colOff>19050</xdr:colOff>
      <xdr:row>43</xdr:row>
      <xdr:rowOff>95250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58DE94B5-5245-4455-AE15-580B32BED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495300</xdr:colOff>
      <xdr:row>48</xdr:row>
      <xdr:rowOff>19050</xdr:rowOff>
    </xdr:from>
    <xdr:to>
      <xdr:col>20</xdr:col>
      <xdr:colOff>533400</xdr:colOff>
      <xdr:row>70</xdr:row>
      <xdr:rowOff>76200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2717BF8-3464-4244-BA99-417A6FEC9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390525</xdr:colOff>
      <xdr:row>72</xdr:row>
      <xdr:rowOff>0</xdr:rowOff>
    </xdr:from>
    <xdr:to>
      <xdr:col>20</xdr:col>
      <xdr:colOff>428625</xdr:colOff>
      <xdr:row>94</xdr:row>
      <xdr:rowOff>57150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BB136AC8-F152-44A4-B9EF-A8B8EF94FA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W2300"/>
  <sheetViews>
    <sheetView tabSelected="1" zoomScale="70" zoomScaleNormal="70" workbookViewId="0">
      <pane ySplit="2" topLeftCell="A3" activePane="bottomLeft" state="frozen"/>
      <selection pane="bottomLeft" activeCell="E28" sqref="E28"/>
    </sheetView>
  </sheetViews>
  <sheetFormatPr defaultColWidth="8.75" defaultRowHeight="14.25" x14ac:dyDescent="0.2"/>
  <cols>
    <col min="1" max="1" width="19.625" style="5" bestFit="1" customWidth="1"/>
    <col min="2" max="2" width="15.375" style="5" customWidth="1"/>
    <col min="3" max="3" width="12.125" style="112" customWidth="1"/>
    <col min="4" max="4" width="41.75" style="5" bestFit="1" customWidth="1"/>
    <col min="5" max="5" width="49.25" style="5" bestFit="1" customWidth="1"/>
    <col min="6" max="6" width="19.25" style="5" bestFit="1" customWidth="1"/>
    <col min="7" max="7" width="28" style="5" bestFit="1" customWidth="1"/>
    <col min="8" max="8" width="11.75" style="5" customWidth="1"/>
    <col min="9" max="9" width="11.375" style="112" customWidth="1"/>
    <col min="10" max="10" width="15" style="5" customWidth="1"/>
    <col min="11" max="11" width="16.75" style="5" customWidth="1"/>
    <col min="12" max="12" width="18" style="112" customWidth="1"/>
    <col min="13" max="13" width="18.875" style="112" customWidth="1"/>
    <col min="14" max="14" width="43.125" style="112" customWidth="1"/>
    <col min="15" max="15" width="11.75" style="5" customWidth="1"/>
    <col min="16" max="16" width="23.125" style="112" customWidth="1"/>
    <col min="17" max="17" width="19" style="113" customWidth="1"/>
    <col min="18" max="18" width="42.125" style="93" customWidth="1"/>
    <col min="19" max="19" width="17.625" style="114" hidden="1" customWidth="1"/>
    <col min="20" max="20" width="22.125" style="5" hidden="1" customWidth="1"/>
    <col min="21" max="21" width="23" style="93" hidden="1" customWidth="1"/>
    <col min="22" max="22" width="13.25" style="5" bestFit="1" customWidth="1"/>
    <col min="23" max="23" width="14.5" style="115" customWidth="1"/>
    <col min="24" max="16384" width="8.75" style="1"/>
  </cols>
  <sheetData>
    <row r="1" spans="1:23" s="3" customFormat="1" ht="36.75" customHeight="1" x14ac:dyDescent="0.2">
      <c r="A1" s="121" t="s">
        <v>0</v>
      </c>
      <c r="B1" s="121"/>
      <c r="C1" s="121"/>
      <c r="D1" s="122" t="s">
        <v>14</v>
      </c>
      <c r="E1" s="122"/>
      <c r="F1" s="122"/>
      <c r="G1" s="122"/>
      <c r="H1" s="121" t="s">
        <v>15</v>
      </c>
      <c r="I1" s="121"/>
      <c r="J1" s="122" t="s">
        <v>163</v>
      </c>
      <c r="K1" s="122"/>
      <c r="L1" s="122"/>
      <c r="M1" s="122"/>
      <c r="N1" s="122"/>
      <c r="O1" s="121" t="s">
        <v>19</v>
      </c>
      <c r="P1" s="121"/>
      <c r="Q1" s="121"/>
      <c r="R1" s="8" t="s">
        <v>22</v>
      </c>
      <c r="S1" s="120" t="s">
        <v>84</v>
      </c>
      <c r="T1" s="121"/>
      <c r="U1" s="8" t="s">
        <v>164</v>
      </c>
      <c r="V1" s="105" t="s">
        <v>86</v>
      </c>
      <c r="W1" s="106"/>
    </row>
    <row r="2" spans="1:23" s="2" customFormat="1" ht="42.75" x14ac:dyDescent="0.2">
      <c r="A2" s="7" t="s">
        <v>8</v>
      </c>
      <c r="B2" s="7" t="s">
        <v>7</v>
      </c>
      <c r="C2" s="107" t="s">
        <v>9</v>
      </c>
      <c r="D2" s="6" t="s">
        <v>10</v>
      </c>
      <c r="E2" s="6" t="s">
        <v>11</v>
      </c>
      <c r="F2" s="6" t="s">
        <v>12</v>
      </c>
      <c r="G2" s="6" t="s">
        <v>13</v>
      </c>
      <c r="H2" s="7" t="s">
        <v>16</v>
      </c>
      <c r="I2" s="107" t="s">
        <v>17</v>
      </c>
      <c r="J2" s="6" t="s">
        <v>162</v>
      </c>
      <c r="K2" s="6" t="s">
        <v>161</v>
      </c>
      <c r="L2" s="108" t="s">
        <v>165</v>
      </c>
      <c r="M2" s="108" t="s">
        <v>18</v>
      </c>
      <c r="N2" s="109" t="s">
        <v>97</v>
      </c>
      <c r="O2" s="7" t="s">
        <v>16</v>
      </c>
      <c r="P2" s="107" t="s">
        <v>20</v>
      </c>
      <c r="Q2" s="110" t="s">
        <v>21</v>
      </c>
      <c r="R2" s="6" t="s">
        <v>23</v>
      </c>
      <c r="S2" s="111" t="s">
        <v>85</v>
      </c>
      <c r="T2" s="7" t="s">
        <v>88</v>
      </c>
      <c r="U2" s="6"/>
      <c r="V2" s="7" t="s">
        <v>87</v>
      </c>
      <c r="W2" s="6" t="s">
        <v>166</v>
      </c>
    </row>
    <row r="3" spans="1:23" x14ac:dyDescent="0.2">
      <c r="A3" s="5" t="s">
        <v>333</v>
      </c>
      <c r="C3" s="131">
        <v>43658</v>
      </c>
      <c r="I3" s="5"/>
      <c r="L3" s="5"/>
      <c r="M3" s="5"/>
      <c r="N3" s="5"/>
      <c r="P3" s="5"/>
      <c r="Q3" s="5"/>
      <c r="R3" s="5"/>
      <c r="S3" s="5"/>
      <c r="U3" s="5"/>
      <c r="W3" s="5"/>
    </row>
    <row r="4" spans="1:23" x14ac:dyDescent="0.2">
      <c r="C4" s="5"/>
      <c r="I4" s="5"/>
      <c r="L4" s="5"/>
      <c r="M4" s="5"/>
      <c r="N4" s="5"/>
      <c r="P4" s="5"/>
      <c r="Q4" s="5"/>
      <c r="R4" s="5"/>
      <c r="S4" s="5"/>
      <c r="U4" s="5"/>
      <c r="W4" s="5"/>
    </row>
    <row r="5" spans="1:23" x14ac:dyDescent="0.2">
      <c r="C5" s="5"/>
      <c r="I5" s="5"/>
      <c r="L5" s="5"/>
      <c r="M5" s="5"/>
      <c r="N5" s="5"/>
      <c r="P5" s="5"/>
      <c r="Q5" s="5"/>
      <c r="R5" s="5"/>
      <c r="S5" s="5"/>
      <c r="U5" s="5"/>
      <c r="W5" s="5"/>
    </row>
    <row r="6" spans="1:23" x14ac:dyDescent="0.2">
      <c r="C6" s="5"/>
      <c r="I6" s="5"/>
      <c r="L6" s="5"/>
      <c r="M6" s="5"/>
      <c r="N6" s="5"/>
      <c r="P6" s="5"/>
      <c r="Q6" s="5"/>
      <c r="R6" s="5"/>
      <c r="S6" s="5"/>
      <c r="U6" s="5"/>
      <c r="W6" s="5"/>
    </row>
    <row r="7" spans="1:23" x14ac:dyDescent="0.2">
      <c r="C7" s="5"/>
      <c r="I7" s="5"/>
      <c r="L7" s="5"/>
      <c r="M7" s="5"/>
      <c r="N7" s="5"/>
      <c r="P7" s="5"/>
      <c r="Q7" s="5"/>
      <c r="R7" s="5"/>
      <c r="S7" s="5"/>
      <c r="U7" s="5"/>
      <c r="W7" s="5"/>
    </row>
    <row r="8" spans="1:23" x14ac:dyDescent="0.2">
      <c r="C8" s="5"/>
      <c r="I8" s="5"/>
      <c r="L8" s="5"/>
      <c r="M8" s="5"/>
      <c r="N8" s="5"/>
      <c r="P8" s="5"/>
      <c r="Q8" s="5"/>
      <c r="R8" s="5"/>
      <c r="S8" s="5"/>
      <c r="U8" s="5"/>
      <c r="W8" s="5"/>
    </row>
    <row r="9" spans="1:23" x14ac:dyDescent="0.2">
      <c r="C9" s="5"/>
      <c r="I9" s="5"/>
      <c r="L9" s="5"/>
      <c r="M9" s="5"/>
      <c r="N9" s="5"/>
      <c r="P9" s="5"/>
      <c r="Q9" s="5"/>
      <c r="R9" s="5"/>
      <c r="S9" s="5"/>
      <c r="U9" s="5"/>
      <c r="W9" s="5"/>
    </row>
    <row r="10" spans="1:23" x14ac:dyDescent="0.2">
      <c r="C10" s="5"/>
      <c r="I10" s="5"/>
      <c r="L10" s="5"/>
      <c r="M10" s="5"/>
      <c r="N10" s="5"/>
      <c r="P10" s="5"/>
      <c r="Q10" s="5"/>
      <c r="R10" s="5"/>
      <c r="S10" s="5"/>
      <c r="U10" s="5"/>
      <c r="W10" s="5"/>
    </row>
    <row r="11" spans="1:23" x14ac:dyDescent="0.2">
      <c r="C11" s="5"/>
      <c r="I11" s="5"/>
      <c r="L11" s="5"/>
      <c r="M11" s="5"/>
      <c r="N11" s="5"/>
      <c r="P11" s="5"/>
      <c r="Q11" s="5"/>
      <c r="R11" s="5"/>
      <c r="S11" s="5"/>
      <c r="U11" s="5"/>
      <c r="W11" s="5"/>
    </row>
    <row r="12" spans="1:23" x14ac:dyDescent="0.2">
      <c r="C12" s="5"/>
      <c r="I12" s="5"/>
      <c r="L12" s="5"/>
      <c r="M12" s="5"/>
      <c r="N12" s="5"/>
      <c r="P12" s="5"/>
      <c r="Q12" s="5"/>
      <c r="R12" s="5"/>
      <c r="S12" s="5"/>
      <c r="U12" s="5"/>
      <c r="W12" s="5"/>
    </row>
    <row r="13" spans="1:23" x14ac:dyDescent="0.2">
      <c r="C13" s="5"/>
      <c r="I13" s="5"/>
      <c r="L13" s="5"/>
      <c r="M13" s="5"/>
      <c r="N13" s="5"/>
      <c r="P13" s="5"/>
      <c r="Q13" s="5"/>
      <c r="R13" s="5"/>
      <c r="S13" s="5"/>
      <c r="U13" s="5"/>
      <c r="W13" s="5"/>
    </row>
    <row r="14" spans="1:23" x14ac:dyDescent="0.2">
      <c r="C14" s="5"/>
      <c r="I14" s="5"/>
      <c r="L14" s="5"/>
      <c r="M14" s="5"/>
      <c r="N14" s="5"/>
      <c r="P14" s="5"/>
      <c r="Q14" s="5"/>
      <c r="R14" s="5"/>
      <c r="S14" s="5"/>
      <c r="U14" s="5"/>
      <c r="W14" s="5"/>
    </row>
    <row r="15" spans="1:23" x14ac:dyDescent="0.2">
      <c r="C15" s="5"/>
      <c r="I15" s="5"/>
      <c r="L15" s="5"/>
      <c r="M15" s="5"/>
      <c r="N15" s="5"/>
      <c r="P15" s="5"/>
      <c r="Q15" s="5"/>
      <c r="R15" s="5"/>
      <c r="S15" s="5"/>
      <c r="U15" s="5"/>
      <c r="W15" s="5"/>
    </row>
    <row r="16" spans="1:23" x14ac:dyDescent="0.2">
      <c r="C16" s="5"/>
      <c r="I16" s="5"/>
      <c r="L16" s="5"/>
      <c r="M16" s="5"/>
      <c r="N16" s="5"/>
      <c r="P16" s="5"/>
      <c r="Q16" s="5"/>
      <c r="R16" s="5"/>
      <c r="S16" s="5"/>
      <c r="U16" s="5"/>
      <c r="W16" s="5"/>
    </row>
    <row r="17" spans="3:23" x14ac:dyDescent="0.2">
      <c r="C17" s="5"/>
      <c r="I17" s="5"/>
      <c r="L17" s="5"/>
      <c r="M17" s="5"/>
      <c r="N17" s="5"/>
      <c r="P17" s="5"/>
      <c r="Q17" s="5"/>
      <c r="R17" s="5"/>
      <c r="S17" s="5"/>
      <c r="U17" s="5"/>
      <c r="W17" s="5"/>
    </row>
    <row r="18" spans="3:23" x14ac:dyDescent="0.2">
      <c r="C18" s="5"/>
      <c r="I18" s="5"/>
      <c r="L18" s="5"/>
      <c r="M18" s="5"/>
      <c r="N18" s="5"/>
      <c r="P18" s="5"/>
      <c r="Q18" s="5"/>
      <c r="R18" s="5"/>
      <c r="S18" s="5"/>
      <c r="U18" s="5"/>
      <c r="W18" s="5"/>
    </row>
    <row r="19" spans="3:23" x14ac:dyDescent="0.2">
      <c r="C19" s="5"/>
      <c r="I19" s="5"/>
      <c r="L19" s="5"/>
      <c r="M19" s="5"/>
      <c r="N19" s="5"/>
      <c r="P19" s="5"/>
      <c r="Q19" s="5"/>
      <c r="R19" s="5"/>
      <c r="S19" s="5"/>
      <c r="U19" s="5"/>
      <c r="W19" s="5"/>
    </row>
    <row r="20" spans="3:23" x14ac:dyDescent="0.2">
      <c r="C20" s="5"/>
      <c r="I20" s="5"/>
      <c r="L20" s="5"/>
      <c r="M20" s="5"/>
      <c r="N20" s="5"/>
      <c r="P20" s="5"/>
      <c r="Q20" s="5"/>
      <c r="R20" s="5"/>
      <c r="S20" s="5"/>
      <c r="U20" s="5"/>
      <c r="W20" s="5"/>
    </row>
    <row r="21" spans="3:23" x14ac:dyDescent="0.2">
      <c r="C21" s="5"/>
      <c r="I21" s="5"/>
      <c r="L21" s="5"/>
      <c r="M21" s="5"/>
      <c r="N21" s="5"/>
      <c r="P21" s="5"/>
      <c r="Q21" s="5"/>
      <c r="R21" s="5"/>
      <c r="S21" s="5"/>
      <c r="U21" s="5"/>
      <c r="W21" s="5"/>
    </row>
    <row r="22" spans="3:23" x14ac:dyDescent="0.2">
      <c r="C22" s="5"/>
      <c r="I22" s="5"/>
      <c r="L22" s="5"/>
      <c r="M22" s="5"/>
      <c r="N22" s="5"/>
      <c r="P22" s="5"/>
      <c r="Q22" s="5"/>
      <c r="R22" s="5"/>
      <c r="S22" s="5"/>
      <c r="U22" s="5"/>
      <c r="W22" s="5"/>
    </row>
    <row r="23" spans="3:23" x14ac:dyDescent="0.2">
      <c r="C23" s="5"/>
      <c r="I23" s="5"/>
      <c r="L23" s="5"/>
      <c r="M23" s="5"/>
      <c r="N23" s="5"/>
      <c r="P23" s="5"/>
      <c r="Q23" s="5"/>
      <c r="R23" s="5"/>
      <c r="S23" s="5"/>
      <c r="U23" s="5"/>
      <c r="W23" s="5"/>
    </row>
    <row r="24" spans="3:23" x14ac:dyDescent="0.2">
      <c r="C24" s="5"/>
      <c r="I24" s="5"/>
      <c r="L24" s="5"/>
      <c r="M24" s="5"/>
      <c r="N24" s="5"/>
      <c r="P24" s="5"/>
      <c r="Q24" s="5"/>
      <c r="R24" s="5"/>
      <c r="S24" s="5"/>
      <c r="U24" s="5"/>
      <c r="W24" s="5"/>
    </row>
    <row r="25" spans="3:23" x14ac:dyDescent="0.2">
      <c r="C25" s="5"/>
      <c r="I25" s="5"/>
      <c r="L25" s="5"/>
      <c r="M25" s="5"/>
      <c r="N25" s="5"/>
      <c r="P25" s="5"/>
      <c r="Q25" s="5"/>
      <c r="R25" s="5"/>
      <c r="S25" s="5"/>
      <c r="U25" s="5"/>
      <c r="W25" s="5"/>
    </row>
    <row r="26" spans="3:23" x14ac:dyDescent="0.2">
      <c r="C26" s="5"/>
      <c r="I26" s="5"/>
      <c r="L26" s="5"/>
      <c r="M26" s="5"/>
      <c r="N26" s="5"/>
      <c r="P26" s="5"/>
      <c r="Q26" s="5"/>
      <c r="R26" s="5"/>
      <c r="S26" s="5"/>
      <c r="U26" s="5"/>
      <c r="W26" s="5"/>
    </row>
    <row r="27" spans="3:23" x14ac:dyDescent="0.2">
      <c r="C27" s="5"/>
      <c r="I27" s="5"/>
      <c r="L27" s="5"/>
      <c r="M27" s="5"/>
      <c r="N27" s="5"/>
      <c r="P27" s="5"/>
      <c r="Q27" s="5"/>
      <c r="R27" s="5"/>
      <c r="S27" s="5"/>
      <c r="U27" s="5"/>
      <c r="W27" s="5"/>
    </row>
    <row r="28" spans="3:23" x14ac:dyDescent="0.2">
      <c r="C28" s="5"/>
      <c r="I28" s="5"/>
      <c r="L28" s="5"/>
      <c r="M28" s="5"/>
      <c r="N28" s="5"/>
      <c r="P28" s="5"/>
      <c r="Q28" s="5"/>
      <c r="R28" s="5"/>
      <c r="S28" s="5"/>
      <c r="U28" s="5"/>
      <c r="W28" s="5"/>
    </row>
    <row r="29" spans="3:23" x14ac:dyDescent="0.2">
      <c r="C29" s="5"/>
      <c r="I29" s="5"/>
      <c r="L29" s="5"/>
      <c r="M29" s="5"/>
      <c r="N29" s="5"/>
      <c r="P29" s="5"/>
      <c r="Q29" s="5"/>
      <c r="R29" s="5"/>
      <c r="S29" s="5"/>
      <c r="U29" s="5"/>
      <c r="W29" s="5"/>
    </row>
    <row r="30" spans="3:23" x14ac:dyDescent="0.2">
      <c r="C30" s="5"/>
      <c r="I30" s="5"/>
      <c r="L30" s="5"/>
      <c r="M30" s="5"/>
      <c r="N30" s="5"/>
      <c r="P30" s="5"/>
      <c r="Q30" s="5"/>
      <c r="R30" s="5"/>
      <c r="S30" s="5"/>
      <c r="U30" s="5"/>
      <c r="W30" s="5"/>
    </row>
    <row r="31" spans="3:23" x14ac:dyDescent="0.2">
      <c r="C31" s="5"/>
      <c r="I31" s="5"/>
      <c r="L31" s="5"/>
      <c r="M31" s="5"/>
      <c r="N31" s="5"/>
      <c r="P31" s="5"/>
      <c r="Q31" s="5"/>
      <c r="R31" s="5"/>
      <c r="S31" s="5"/>
      <c r="U31" s="5"/>
      <c r="W31" s="5"/>
    </row>
    <row r="32" spans="3:23" x14ac:dyDescent="0.2">
      <c r="C32" s="5"/>
      <c r="I32" s="5"/>
      <c r="L32" s="5"/>
      <c r="M32" s="5"/>
      <c r="N32" s="5"/>
      <c r="P32" s="5"/>
      <c r="Q32" s="5"/>
      <c r="R32" s="5"/>
      <c r="S32" s="5"/>
      <c r="U32" s="5"/>
      <c r="W32" s="5"/>
    </row>
    <row r="33" spans="3:23" x14ac:dyDescent="0.2">
      <c r="C33" s="5"/>
      <c r="I33" s="5"/>
      <c r="L33" s="5"/>
      <c r="M33" s="5"/>
      <c r="N33" s="5"/>
      <c r="P33" s="5"/>
      <c r="Q33" s="5"/>
      <c r="R33" s="5"/>
      <c r="S33" s="5"/>
      <c r="U33" s="5"/>
      <c r="W33" s="5"/>
    </row>
    <row r="34" spans="3:23" x14ac:dyDescent="0.2">
      <c r="C34" s="5"/>
      <c r="I34" s="5"/>
      <c r="L34" s="5"/>
      <c r="M34" s="5"/>
      <c r="N34" s="5"/>
      <c r="P34" s="5"/>
      <c r="Q34" s="5"/>
      <c r="R34" s="5"/>
      <c r="S34" s="5"/>
      <c r="U34" s="5"/>
      <c r="W34" s="5"/>
    </row>
    <row r="35" spans="3:23" x14ac:dyDescent="0.2">
      <c r="C35" s="5"/>
      <c r="I35" s="5"/>
      <c r="L35" s="5"/>
      <c r="M35" s="5"/>
      <c r="N35" s="5"/>
      <c r="P35" s="5"/>
      <c r="Q35" s="5"/>
      <c r="R35" s="5"/>
      <c r="S35" s="5"/>
      <c r="U35" s="5"/>
      <c r="W35" s="5"/>
    </row>
    <row r="36" spans="3:23" x14ac:dyDescent="0.2">
      <c r="C36" s="5"/>
      <c r="I36" s="5"/>
      <c r="L36" s="5"/>
      <c r="M36" s="5"/>
      <c r="N36" s="5"/>
      <c r="P36" s="5"/>
      <c r="Q36" s="5"/>
      <c r="R36" s="5"/>
      <c r="S36" s="5"/>
      <c r="U36" s="5"/>
      <c r="W36" s="5"/>
    </row>
    <row r="37" spans="3:23" x14ac:dyDescent="0.2">
      <c r="C37" s="5"/>
      <c r="I37" s="5"/>
      <c r="L37" s="5"/>
      <c r="M37" s="5"/>
      <c r="N37" s="5"/>
      <c r="P37" s="5"/>
      <c r="Q37" s="5"/>
      <c r="R37" s="5"/>
      <c r="S37" s="5"/>
      <c r="U37" s="5"/>
      <c r="W37" s="5"/>
    </row>
    <row r="38" spans="3:23" x14ac:dyDescent="0.2">
      <c r="C38" s="5"/>
      <c r="I38" s="5"/>
      <c r="L38" s="5"/>
      <c r="M38" s="5"/>
      <c r="N38" s="5"/>
      <c r="P38" s="5"/>
      <c r="Q38" s="5"/>
      <c r="R38" s="5"/>
      <c r="S38" s="5"/>
      <c r="U38" s="5"/>
      <c r="W38" s="5"/>
    </row>
    <row r="39" spans="3:23" x14ac:dyDescent="0.2">
      <c r="C39" s="5"/>
      <c r="I39" s="5"/>
      <c r="L39" s="5"/>
      <c r="M39" s="5"/>
      <c r="N39" s="5"/>
      <c r="P39" s="5"/>
      <c r="Q39" s="5"/>
      <c r="R39" s="5"/>
      <c r="S39" s="5"/>
      <c r="U39" s="5"/>
      <c r="W39" s="5"/>
    </row>
    <row r="40" spans="3:23" x14ac:dyDescent="0.2">
      <c r="C40" s="5"/>
      <c r="I40" s="5"/>
      <c r="L40" s="5"/>
      <c r="M40" s="5"/>
      <c r="N40" s="5"/>
      <c r="P40" s="5"/>
      <c r="Q40" s="5"/>
      <c r="R40" s="5"/>
      <c r="S40" s="5"/>
      <c r="U40" s="5"/>
      <c r="W40" s="5"/>
    </row>
    <row r="41" spans="3:23" x14ac:dyDescent="0.2">
      <c r="C41" s="5"/>
      <c r="I41" s="5"/>
      <c r="L41" s="5"/>
      <c r="M41" s="5"/>
      <c r="N41" s="5"/>
      <c r="P41" s="5"/>
      <c r="Q41" s="5"/>
      <c r="R41" s="5"/>
      <c r="S41" s="5"/>
      <c r="U41" s="5"/>
      <c r="W41" s="5"/>
    </row>
    <row r="42" spans="3:23" x14ac:dyDescent="0.2">
      <c r="C42" s="5"/>
      <c r="I42" s="5"/>
      <c r="L42" s="5"/>
      <c r="M42" s="5"/>
      <c r="N42" s="5"/>
      <c r="P42" s="5"/>
      <c r="Q42" s="5"/>
      <c r="R42" s="5"/>
      <c r="S42" s="5"/>
      <c r="U42" s="5"/>
      <c r="W42" s="5"/>
    </row>
    <row r="43" spans="3:23" x14ac:dyDescent="0.2">
      <c r="C43" s="5"/>
      <c r="I43" s="5"/>
      <c r="L43" s="5"/>
      <c r="M43" s="5"/>
      <c r="N43" s="5"/>
      <c r="P43" s="5"/>
      <c r="Q43" s="5"/>
      <c r="R43" s="5"/>
      <c r="S43" s="5"/>
      <c r="U43" s="5"/>
      <c r="W43" s="5"/>
    </row>
    <row r="44" spans="3:23" x14ac:dyDescent="0.2">
      <c r="C44" s="5"/>
      <c r="I44" s="5"/>
      <c r="L44" s="5"/>
      <c r="M44" s="5"/>
      <c r="N44" s="5"/>
      <c r="P44" s="5"/>
      <c r="Q44" s="5"/>
      <c r="R44" s="5"/>
      <c r="S44" s="5"/>
      <c r="U44" s="5"/>
      <c r="W44" s="5"/>
    </row>
    <row r="45" spans="3:23" x14ac:dyDescent="0.2">
      <c r="C45" s="5"/>
      <c r="I45" s="5"/>
      <c r="L45" s="5"/>
      <c r="M45" s="5"/>
      <c r="N45" s="5"/>
      <c r="P45" s="5"/>
      <c r="Q45" s="5"/>
      <c r="R45" s="5"/>
      <c r="S45" s="5"/>
      <c r="U45" s="5"/>
      <c r="W45" s="5"/>
    </row>
    <row r="46" spans="3:23" x14ac:dyDescent="0.2">
      <c r="C46" s="5"/>
      <c r="I46" s="5"/>
      <c r="L46" s="5"/>
      <c r="M46" s="5"/>
      <c r="N46" s="5"/>
      <c r="P46" s="5"/>
      <c r="Q46" s="5"/>
      <c r="R46" s="5"/>
      <c r="S46" s="5"/>
      <c r="U46" s="5"/>
      <c r="W46" s="5"/>
    </row>
    <row r="47" spans="3:23" x14ac:dyDescent="0.2">
      <c r="C47" s="5"/>
      <c r="I47" s="5"/>
      <c r="L47" s="5"/>
      <c r="M47" s="5"/>
      <c r="N47" s="5"/>
      <c r="P47" s="5"/>
      <c r="Q47" s="5"/>
      <c r="R47" s="5"/>
      <c r="S47" s="5"/>
      <c r="U47" s="5"/>
      <c r="W47" s="5"/>
    </row>
    <row r="48" spans="3:23" x14ac:dyDescent="0.2">
      <c r="C48" s="5"/>
      <c r="I48" s="5"/>
      <c r="L48" s="5"/>
      <c r="M48" s="5"/>
      <c r="N48" s="5"/>
      <c r="P48" s="5"/>
      <c r="Q48" s="5"/>
      <c r="R48" s="5"/>
      <c r="S48" s="5"/>
      <c r="U48" s="5"/>
      <c r="W48" s="5"/>
    </row>
    <row r="49" spans="3:23" x14ac:dyDescent="0.2">
      <c r="C49" s="5"/>
      <c r="I49" s="5"/>
      <c r="L49" s="5"/>
      <c r="M49" s="5"/>
      <c r="N49" s="5"/>
      <c r="P49" s="5"/>
      <c r="Q49" s="5"/>
      <c r="R49" s="5"/>
      <c r="S49" s="5"/>
      <c r="U49" s="5"/>
      <c r="W49" s="5"/>
    </row>
    <row r="50" spans="3:23" x14ac:dyDescent="0.2">
      <c r="C50" s="5"/>
      <c r="I50" s="5"/>
      <c r="L50" s="5"/>
      <c r="M50" s="5"/>
      <c r="N50" s="5"/>
      <c r="P50" s="5"/>
      <c r="Q50" s="5"/>
      <c r="R50" s="5"/>
      <c r="S50" s="5"/>
      <c r="U50" s="5"/>
      <c r="W50" s="5"/>
    </row>
    <row r="51" spans="3:23" x14ac:dyDescent="0.2">
      <c r="C51" s="5"/>
      <c r="I51" s="5"/>
      <c r="L51" s="5"/>
      <c r="M51" s="5"/>
      <c r="N51" s="5"/>
      <c r="P51" s="5"/>
      <c r="Q51" s="5"/>
      <c r="R51" s="5"/>
      <c r="S51" s="5"/>
      <c r="U51" s="5"/>
      <c r="W51" s="5"/>
    </row>
    <row r="52" spans="3:23" x14ac:dyDescent="0.2">
      <c r="C52" s="5"/>
      <c r="I52" s="5"/>
      <c r="L52" s="5"/>
      <c r="M52" s="5"/>
      <c r="N52" s="5"/>
      <c r="P52" s="5"/>
      <c r="Q52" s="5"/>
      <c r="R52" s="5"/>
      <c r="S52" s="5"/>
      <c r="U52" s="5"/>
      <c r="W52" s="5"/>
    </row>
    <row r="53" spans="3:23" x14ac:dyDescent="0.2">
      <c r="C53" s="5"/>
      <c r="I53" s="5"/>
      <c r="L53" s="5"/>
      <c r="M53" s="5"/>
      <c r="N53" s="5"/>
      <c r="P53" s="5"/>
      <c r="Q53" s="5"/>
      <c r="R53" s="5"/>
      <c r="S53" s="5"/>
      <c r="U53" s="5"/>
      <c r="W53" s="5"/>
    </row>
    <row r="54" spans="3:23" x14ac:dyDescent="0.2">
      <c r="C54" s="5"/>
      <c r="I54" s="5"/>
      <c r="L54" s="5"/>
      <c r="M54" s="5"/>
      <c r="N54" s="5"/>
      <c r="P54" s="5"/>
      <c r="Q54" s="5"/>
      <c r="R54" s="5"/>
      <c r="S54" s="5"/>
      <c r="U54" s="5"/>
      <c r="W54" s="5"/>
    </row>
    <row r="55" spans="3:23" x14ac:dyDescent="0.2">
      <c r="C55" s="5"/>
      <c r="I55" s="5"/>
      <c r="L55" s="5"/>
      <c r="M55" s="5"/>
      <c r="N55" s="5"/>
      <c r="P55" s="5"/>
      <c r="Q55" s="5"/>
      <c r="R55" s="5"/>
      <c r="S55" s="5"/>
      <c r="U55" s="5"/>
      <c r="W55" s="5"/>
    </row>
    <row r="56" spans="3:23" x14ac:dyDescent="0.2">
      <c r="C56" s="5"/>
      <c r="I56" s="5"/>
      <c r="L56" s="5"/>
      <c r="M56" s="5"/>
      <c r="N56" s="5"/>
      <c r="P56" s="5"/>
      <c r="Q56" s="5"/>
      <c r="R56" s="5"/>
      <c r="S56" s="5"/>
      <c r="U56" s="5"/>
      <c r="W56" s="5"/>
    </row>
    <row r="57" spans="3:23" x14ac:dyDescent="0.2">
      <c r="C57" s="5"/>
      <c r="I57" s="5"/>
      <c r="L57" s="5"/>
      <c r="M57" s="5"/>
      <c r="N57" s="5"/>
      <c r="P57" s="5"/>
      <c r="Q57" s="5"/>
      <c r="R57" s="5"/>
      <c r="S57" s="5"/>
      <c r="U57" s="5"/>
      <c r="W57" s="5"/>
    </row>
    <row r="58" spans="3:23" x14ac:dyDescent="0.2">
      <c r="C58" s="5"/>
      <c r="I58" s="5"/>
      <c r="L58" s="5"/>
      <c r="M58" s="5"/>
      <c r="N58" s="5"/>
      <c r="P58" s="5"/>
      <c r="Q58" s="5"/>
      <c r="R58" s="5"/>
      <c r="S58" s="5"/>
      <c r="U58" s="5"/>
      <c r="W58" s="5"/>
    </row>
    <row r="59" spans="3:23" x14ac:dyDescent="0.2">
      <c r="C59" s="5"/>
      <c r="I59" s="5"/>
      <c r="L59" s="5"/>
      <c r="M59" s="5"/>
      <c r="N59" s="5"/>
      <c r="P59" s="5"/>
      <c r="Q59" s="5"/>
      <c r="R59" s="5"/>
      <c r="S59" s="5"/>
      <c r="U59" s="5"/>
      <c r="W59" s="5"/>
    </row>
    <row r="60" spans="3:23" x14ac:dyDescent="0.2">
      <c r="C60" s="5"/>
      <c r="I60" s="5"/>
      <c r="L60" s="5"/>
      <c r="M60" s="5"/>
      <c r="N60" s="5"/>
      <c r="P60" s="5"/>
      <c r="Q60" s="5"/>
      <c r="R60" s="5"/>
      <c r="S60" s="5"/>
      <c r="U60" s="5"/>
      <c r="W60" s="5"/>
    </row>
    <row r="61" spans="3:23" x14ac:dyDescent="0.2">
      <c r="C61" s="5"/>
      <c r="I61" s="5"/>
      <c r="L61" s="5"/>
      <c r="M61" s="5"/>
      <c r="N61" s="5"/>
      <c r="P61" s="5"/>
      <c r="Q61" s="5"/>
      <c r="R61" s="5"/>
      <c r="S61" s="5"/>
      <c r="U61" s="5"/>
      <c r="W61" s="5"/>
    </row>
    <row r="62" spans="3:23" x14ac:dyDescent="0.2">
      <c r="C62" s="5"/>
      <c r="I62" s="5"/>
      <c r="L62" s="5"/>
      <c r="M62" s="5"/>
      <c r="N62" s="5"/>
      <c r="P62" s="5"/>
      <c r="Q62" s="5"/>
      <c r="R62" s="5"/>
      <c r="S62" s="5"/>
      <c r="U62" s="5"/>
      <c r="W62" s="5"/>
    </row>
    <row r="63" spans="3:23" x14ac:dyDescent="0.2">
      <c r="C63" s="5"/>
      <c r="I63" s="5"/>
      <c r="L63" s="5"/>
      <c r="M63" s="5"/>
      <c r="N63" s="5"/>
      <c r="P63" s="5"/>
      <c r="Q63" s="5"/>
      <c r="R63" s="5"/>
      <c r="S63" s="5"/>
      <c r="U63" s="5"/>
      <c r="W63" s="5"/>
    </row>
    <row r="64" spans="3:23" x14ac:dyDescent="0.2">
      <c r="C64" s="5"/>
      <c r="I64" s="5"/>
      <c r="L64" s="5"/>
      <c r="M64" s="5"/>
      <c r="N64" s="5"/>
      <c r="P64" s="5"/>
      <c r="Q64" s="5"/>
      <c r="R64" s="5"/>
      <c r="S64" s="5"/>
      <c r="U64" s="5"/>
      <c r="W64" s="5"/>
    </row>
    <row r="65" spans="3:23" x14ac:dyDescent="0.2">
      <c r="C65" s="5"/>
      <c r="I65" s="5"/>
      <c r="L65" s="5"/>
      <c r="M65" s="5"/>
      <c r="N65" s="5"/>
      <c r="P65" s="5"/>
      <c r="Q65" s="5"/>
      <c r="R65" s="5"/>
      <c r="S65" s="5"/>
      <c r="U65" s="5"/>
      <c r="W65" s="5"/>
    </row>
    <row r="66" spans="3:23" x14ac:dyDescent="0.2">
      <c r="C66" s="5"/>
      <c r="I66" s="5"/>
      <c r="L66" s="5"/>
      <c r="M66" s="5"/>
      <c r="N66" s="5"/>
      <c r="P66" s="5"/>
      <c r="Q66" s="5"/>
      <c r="R66" s="5"/>
      <c r="S66" s="5"/>
      <c r="U66" s="5"/>
      <c r="W66" s="5"/>
    </row>
    <row r="67" spans="3:23" x14ac:dyDescent="0.2">
      <c r="C67" s="5"/>
      <c r="I67" s="5"/>
      <c r="L67" s="5"/>
      <c r="M67" s="5"/>
      <c r="N67" s="5"/>
      <c r="P67" s="5"/>
      <c r="Q67" s="5"/>
      <c r="R67" s="5"/>
      <c r="S67" s="5"/>
      <c r="U67" s="5"/>
      <c r="W67" s="5"/>
    </row>
    <row r="68" spans="3:23" x14ac:dyDescent="0.2">
      <c r="C68" s="5"/>
      <c r="I68" s="5"/>
      <c r="L68" s="5"/>
      <c r="M68" s="5"/>
      <c r="N68" s="5"/>
      <c r="P68" s="5"/>
      <c r="Q68" s="5"/>
      <c r="R68" s="5"/>
      <c r="S68" s="5"/>
      <c r="U68" s="5"/>
      <c r="W68" s="5"/>
    </row>
    <row r="69" spans="3:23" x14ac:dyDescent="0.2">
      <c r="C69" s="5"/>
      <c r="I69" s="5"/>
      <c r="L69" s="5"/>
      <c r="M69" s="5"/>
      <c r="N69" s="5"/>
      <c r="P69" s="5"/>
      <c r="Q69" s="5"/>
      <c r="R69" s="5"/>
      <c r="S69" s="5"/>
      <c r="U69" s="5"/>
      <c r="W69" s="5"/>
    </row>
    <row r="70" spans="3:23" x14ac:dyDescent="0.2">
      <c r="C70" s="5"/>
      <c r="I70" s="5"/>
      <c r="L70" s="5"/>
      <c r="M70" s="5"/>
      <c r="N70" s="5"/>
      <c r="P70" s="5"/>
      <c r="Q70" s="5"/>
      <c r="R70" s="5"/>
      <c r="S70" s="5"/>
      <c r="U70" s="5"/>
      <c r="W70" s="5"/>
    </row>
    <row r="71" spans="3:23" x14ac:dyDescent="0.2">
      <c r="C71" s="5"/>
      <c r="I71" s="5"/>
      <c r="L71" s="5"/>
      <c r="M71" s="5"/>
      <c r="N71" s="5"/>
      <c r="P71" s="5"/>
      <c r="Q71" s="5"/>
      <c r="R71" s="5"/>
      <c r="S71" s="5"/>
      <c r="U71" s="5"/>
      <c r="W71" s="5"/>
    </row>
    <row r="72" spans="3:23" x14ac:dyDescent="0.2">
      <c r="C72" s="5"/>
      <c r="I72" s="5"/>
      <c r="L72" s="5"/>
      <c r="M72" s="5"/>
      <c r="N72" s="5"/>
      <c r="P72" s="5"/>
      <c r="Q72" s="5"/>
      <c r="R72" s="5"/>
      <c r="S72" s="5"/>
      <c r="U72" s="5"/>
      <c r="W72" s="5"/>
    </row>
    <row r="73" spans="3:23" x14ac:dyDescent="0.2">
      <c r="C73" s="5"/>
      <c r="I73" s="5"/>
      <c r="L73" s="5"/>
      <c r="M73" s="5"/>
      <c r="N73" s="5"/>
      <c r="P73" s="5"/>
      <c r="Q73" s="5"/>
      <c r="R73" s="5"/>
      <c r="S73" s="5"/>
      <c r="U73" s="5"/>
      <c r="W73" s="5"/>
    </row>
    <row r="74" spans="3:23" x14ac:dyDescent="0.2">
      <c r="C74" s="5"/>
      <c r="I74" s="5"/>
      <c r="L74" s="5"/>
      <c r="M74" s="5"/>
      <c r="N74" s="5"/>
      <c r="P74" s="5"/>
      <c r="Q74" s="5"/>
      <c r="R74" s="5"/>
      <c r="S74" s="5"/>
      <c r="U74" s="5"/>
      <c r="W74" s="5"/>
    </row>
    <row r="75" spans="3:23" x14ac:dyDescent="0.2">
      <c r="C75" s="5"/>
      <c r="I75" s="5"/>
      <c r="L75" s="5"/>
      <c r="M75" s="5"/>
      <c r="N75" s="5"/>
      <c r="P75" s="5"/>
      <c r="Q75" s="5"/>
      <c r="R75" s="5"/>
      <c r="S75" s="5"/>
      <c r="U75" s="5"/>
      <c r="W75" s="5"/>
    </row>
    <row r="76" spans="3:23" x14ac:dyDescent="0.2">
      <c r="C76" s="5"/>
      <c r="I76" s="5"/>
      <c r="L76" s="5"/>
      <c r="M76" s="5"/>
      <c r="N76" s="5"/>
      <c r="P76" s="5"/>
      <c r="Q76" s="5"/>
      <c r="R76" s="5"/>
      <c r="S76" s="5"/>
      <c r="U76" s="5"/>
      <c r="W76" s="5"/>
    </row>
    <row r="77" spans="3:23" x14ac:dyDescent="0.2">
      <c r="C77" s="5"/>
      <c r="I77" s="5"/>
      <c r="L77" s="5"/>
      <c r="M77" s="5"/>
      <c r="N77" s="5"/>
      <c r="P77" s="5"/>
      <c r="Q77" s="5"/>
      <c r="R77" s="5"/>
      <c r="S77" s="5"/>
      <c r="U77" s="5"/>
      <c r="W77" s="5"/>
    </row>
    <row r="78" spans="3:23" x14ac:dyDescent="0.2">
      <c r="C78" s="5"/>
      <c r="I78" s="5"/>
      <c r="L78" s="5"/>
      <c r="M78" s="5"/>
      <c r="N78" s="5"/>
      <c r="P78" s="5"/>
      <c r="Q78" s="5"/>
      <c r="R78" s="5"/>
      <c r="S78" s="5"/>
      <c r="U78" s="5"/>
      <c r="W78" s="5"/>
    </row>
    <row r="79" spans="3:23" x14ac:dyDescent="0.2">
      <c r="C79" s="5"/>
      <c r="I79" s="5"/>
      <c r="L79" s="5"/>
      <c r="M79" s="5"/>
      <c r="N79" s="5"/>
      <c r="P79" s="5"/>
      <c r="Q79" s="5"/>
      <c r="R79" s="5"/>
      <c r="S79" s="5"/>
      <c r="U79" s="5"/>
      <c r="W79" s="5"/>
    </row>
    <row r="80" spans="3:23" x14ac:dyDescent="0.2">
      <c r="C80" s="5"/>
      <c r="I80" s="5"/>
      <c r="L80" s="5"/>
      <c r="M80" s="5"/>
      <c r="N80" s="5"/>
      <c r="P80" s="5"/>
      <c r="Q80" s="5"/>
      <c r="R80" s="5"/>
      <c r="S80" s="5"/>
      <c r="U80" s="5"/>
      <c r="W80" s="5"/>
    </row>
    <row r="81" spans="3:23" x14ac:dyDescent="0.2">
      <c r="C81" s="5"/>
      <c r="I81" s="5"/>
      <c r="L81" s="5"/>
      <c r="M81" s="5"/>
      <c r="N81" s="5"/>
      <c r="P81" s="5"/>
      <c r="Q81" s="5"/>
      <c r="R81" s="5"/>
      <c r="S81" s="5"/>
      <c r="U81" s="5"/>
      <c r="W81" s="5"/>
    </row>
    <row r="82" spans="3:23" x14ac:dyDescent="0.2">
      <c r="C82" s="5"/>
      <c r="I82" s="5"/>
      <c r="L82" s="5"/>
      <c r="M82" s="5"/>
      <c r="N82" s="5"/>
      <c r="P82" s="5"/>
      <c r="Q82" s="5"/>
      <c r="R82" s="5"/>
      <c r="S82" s="5"/>
      <c r="U82" s="5"/>
      <c r="W82" s="5"/>
    </row>
    <row r="83" spans="3:23" ht="29.25" customHeight="1" x14ac:dyDescent="0.2">
      <c r="C83" s="5"/>
      <c r="I83" s="5"/>
      <c r="L83" s="5"/>
      <c r="M83" s="5"/>
      <c r="N83" s="5"/>
      <c r="P83" s="5"/>
      <c r="Q83" s="5"/>
      <c r="R83" s="5"/>
      <c r="S83" s="5"/>
      <c r="U83" s="5"/>
      <c r="W83" s="5"/>
    </row>
    <row r="84" spans="3:23" ht="31.5" customHeight="1" x14ac:dyDescent="0.2">
      <c r="C84" s="5"/>
      <c r="I84" s="5"/>
      <c r="L84" s="5"/>
      <c r="M84" s="5"/>
      <c r="N84" s="5"/>
      <c r="P84" s="5"/>
      <c r="Q84" s="5"/>
      <c r="R84" s="5"/>
      <c r="S84" s="5"/>
      <c r="U84" s="5"/>
      <c r="W84" s="5"/>
    </row>
    <row r="85" spans="3:23" ht="25.5" customHeight="1" x14ac:dyDescent="0.2">
      <c r="C85" s="5"/>
      <c r="I85" s="5"/>
      <c r="L85" s="5"/>
      <c r="M85" s="5"/>
      <c r="N85" s="5"/>
      <c r="P85" s="5"/>
      <c r="Q85" s="5"/>
      <c r="R85" s="5"/>
      <c r="S85" s="5"/>
      <c r="U85" s="5"/>
      <c r="W85" s="5"/>
    </row>
    <row r="86" spans="3:23" x14ac:dyDescent="0.2">
      <c r="C86" s="5"/>
      <c r="I86" s="5"/>
      <c r="L86" s="5"/>
      <c r="M86" s="5"/>
      <c r="N86" s="5"/>
      <c r="P86" s="5"/>
      <c r="Q86" s="5"/>
      <c r="R86" s="5"/>
      <c r="S86" s="5"/>
      <c r="U86" s="5"/>
      <c r="W86" s="5"/>
    </row>
    <row r="87" spans="3:23" x14ac:dyDescent="0.2">
      <c r="C87" s="5"/>
      <c r="I87" s="5"/>
      <c r="L87" s="5"/>
      <c r="M87" s="5"/>
      <c r="N87" s="5"/>
      <c r="P87" s="5"/>
      <c r="Q87" s="5"/>
      <c r="R87" s="5"/>
      <c r="S87" s="5"/>
      <c r="U87" s="5"/>
      <c r="W87" s="5"/>
    </row>
    <row r="88" spans="3:23" x14ac:dyDescent="0.2">
      <c r="C88" s="5"/>
      <c r="I88" s="5"/>
      <c r="L88" s="5"/>
      <c r="M88" s="5"/>
      <c r="N88" s="5"/>
      <c r="P88" s="5"/>
      <c r="Q88" s="5"/>
      <c r="R88" s="5"/>
      <c r="S88" s="5"/>
      <c r="U88" s="5"/>
      <c r="W88" s="5"/>
    </row>
    <row r="89" spans="3:23" x14ac:dyDescent="0.2">
      <c r="C89" s="5"/>
      <c r="I89" s="5"/>
      <c r="L89" s="5"/>
      <c r="M89" s="5"/>
      <c r="N89" s="5"/>
      <c r="P89" s="5"/>
      <c r="Q89" s="5"/>
      <c r="R89" s="5"/>
      <c r="S89" s="5"/>
      <c r="U89" s="5"/>
      <c r="W89" s="5"/>
    </row>
    <row r="90" spans="3:23" x14ac:dyDescent="0.2">
      <c r="C90" s="5"/>
      <c r="I90" s="5"/>
      <c r="L90" s="5"/>
      <c r="M90" s="5"/>
      <c r="N90" s="5"/>
      <c r="P90" s="5"/>
      <c r="Q90" s="5"/>
      <c r="R90" s="5"/>
      <c r="S90" s="5"/>
      <c r="U90" s="5"/>
      <c r="W90" s="5"/>
    </row>
    <row r="91" spans="3:23" x14ac:dyDescent="0.2">
      <c r="C91" s="5"/>
      <c r="I91" s="5"/>
      <c r="L91" s="5"/>
      <c r="M91" s="5"/>
      <c r="N91" s="5"/>
      <c r="P91" s="5"/>
      <c r="Q91" s="5"/>
      <c r="R91" s="5"/>
      <c r="S91" s="5"/>
      <c r="U91" s="5"/>
      <c r="W91" s="5"/>
    </row>
    <row r="92" spans="3:23" x14ac:dyDescent="0.2">
      <c r="C92" s="5"/>
      <c r="I92" s="5"/>
      <c r="L92" s="5"/>
      <c r="M92" s="5"/>
      <c r="N92" s="5"/>
      <c r="P92" s="5"/>
      <c r="Q92" s="5"/>
      <c r="R92" s="5"/>
      <c r="S92" s="5"/>
      <c r="U92" s="5"/>
      <c r="W92" s="5"/>
    </row>
    <row r="93" spans="3:23" x14ac:dyDescent="0.2">
      <c r="C93" s="5"/>
      <c r="I93" s="5"/>
      <c r="L93" s="5"/>
      <c r="M93" s="5"/>
      <c r="N93" s="5"/>
      <c r="P93" s="5"/>
      <c r="Q93" s="5"/>
      <c r="R93" s="5"/>
      <c r="S93" s="5"/>
      <c r="U93" s="5"/>
      <c r="W93" s="5"/>
    </row>
    <row r="94" spans="3:23" x14ac:dyDescent="0.2">
      <c r="C94" s="5"/>
      <c r="I94" s="5"/>
      <c r="L94" s="5"/>
      <c r="M94" s="5"/>
      <c r="N94" s="5"/>
      <c r="P94" s="5"/>
      <c r="Q94" s="5"/>
      <c r="R94" s="5"/>
      <c r="S94" s="5"/>
      <c r="U94" s="5"/>
      <c r="W94" s="5"/>
    </row>
    <row r="95" spans="3:23" x14ac:dyDescent="0.2">
      <c r="C95" s="5"/>
      <c r="I95" s="5"/>
      <c r="L95" s="5"/>
      <c r="M95" s="5"/>
      <c r="N95" s="5"/>
      <c r="P95" s="5"/>
      <c r="Q95" s="5"/>
      <c r="R95" s="5"/>
      <c r="S95" s="5"/>
      <c r="U95" s="5"/>
      <c r="W95" s="5"/>
    </row>
    <row r="96" spans="3:23" x14ac:dyDescent="0.2">
      <c r="C96" s="5"/>
      <c r="I96" s="5"/>
      <c r="L96" s="5"/>
      <c r="M96" s="5"/>
      <c r="N96" s="5"/>
      <c r="P96" s="5"/>
      <c r="Q96" s="5"/>
      <c r="R96" s="5"/>
      <c r="S96" s="5"/>
      <c r="U96" s="5"/>
      <c r="W96" s="5"/>
    </row>
    <row r="97" spans="3:23" x14ac:dyDescent="0.2">
      <c r="C97" s="5"/>
      <c r="I97" s="5"/>
      <c r="L97" s="5"/>
      <c r="M97" s="5"/>
      <c r="N97" s="5"/>
      <c r="P97" s="5"/>
      <c r="Q97" s="5"/>
      <c r="R97" s="5"/>
      <c r="S97" s="5"/>
      <c r="U97" s="5"/>
      <c r="W97" s="5"/>
    </row>
    <row r="98" spans="3:23" x14ac:dyDescent="0.2">
      <c r="C98" s="5"/>
      <c r="I98" s="5"/>
      <c r="L98" s="5"/>
      <c r="M98" s="5"/>
      <c r="N98" s="5"/>
      <c r="P98" s="5"/>
      <c r="Q98" s="5"/>
      <c r="R98" s="5"/>
      <c r="S98" s="5"/>
      <c r="U98" s="5"/>
      <c r="W98" s="5"/>
    </row>
    <row r="99" spans="3:23" x14ac:dyDescent="0.2">
      <c r="C99" s="5"/>
      <c r="I99" s="5"/>
      <c r="L99" s="5"/>
      <c r="M99" s="5"/>
      <c r="N99" s="5"/>
      <c r="P99" s="5"/>
      <c r="Q99" s="5"/>
      <c r="R99" s="5"/>
      <c r="S99" s="5"/>
      <c r="U99" s="5"/>
      <c r="W99" s="5"/>
    </row>
    <row r="100" spans="3:23" x14ac:dyDescent="0.2">
      <c r="C100" s="5"/>
      <c r="I100" s="5"/>
      <c r="L100" s="5"/>
      <c r="M100" s="5"/>
      <c r="N100" s="5"/>
      <c r="P100" s="5"/>
      <c r="Q100" s="5"/>
      <c r="R100" s="5"/>
      <c r="S100" s="5"/>
      <c r="U100" s="5"/>
      <c r="W100" s="5"/>
    </row>
    <row r="101" spans="3:23" x14ac:dyDescent="0.2">
      <c r="C101" s="5"/>
      <c r="I101" s="5"/>
      <c r="L101" s="5"/>
      <c r="M101" s="5"/>
      <c r="N101" s="5"/>
      <c r="P101" s="5"/>
      <c r="Q101" s="5"/>
      <c r="R101" s="5"/>
      <c r="S101" s="5"/>
      <c r="U101" s="5"/>
      <c r="W101" s="5"/>
    </row>
    <row r="102" spans="3:23" x14ac:dyDescent="0.2">
      <c r="C102" s="5"/>
      <c r="I102" s="5"/>
      <c r="L102" s="5"/>
      <c r="M102" s="5"/>
      <c r="N102" s="5"/>
      <c r="P102" s="5"/>
      <c r="Q102" s="5"/>
      <c r="R102" s="5"/>
      <c r="S102" s="5"/>
      <c r="U102" s="5"/>
      <c r="W102" s="5"/>
    </row>
    <row r="103" spans="3:23" x14ac:dyDescent="0.2">
      <c r="C103" s="5"/>
      <c r="I103" s="5"/>
      <c r="L103" s="5"/>
      <c r="M103" s="5"/>
      <c r="N103" s="5"/>
      <c r="P103" s="5"/>
      <c r="Q103" s="5"/>
      <c r="R103" s="5"/>
      <c r="S103" s="5"/>
      <c r="U103" s="5"/>
      <c r="W103" s="5"/>
    </row>
    <row r="104" spans="3:23" x14ac:dyDescent="0.2">
      <c r="C104" s="5"/>
      <c r="I104" s="5"/>
      <c r="L104" s="5"/>
      <c r="M104" s="5"/>
      <c r="N104" s="5"/>
      <c r="P104" s="5"/>
      <c r="Q104" s="5"/>
      <c r="R104" s="5"/>
      <c r="S104" s="5"/>
      <c r="U104" s="5"/>
      <c r="W104" s="5"/>
    </row>
    <row r="105" spans="3:23" x14ac:dyDescent="0.2">
      <c r="C105" s="5"/>
      <c r="I105" s="5"/>
      <c r="L105" s="5"/>
      <c r="M105" s="5"/>
      <c r="N105" s="5"/>
      <c r="P105" s="5"/>
      <c r="Q105" s="5"/>
      <c r="R105" s="5"/>
      <c r="S105" s="5"/>
      <c r="U105" s="5"/>
      <c r="W105" s="5"/>
    </row>
    <row r="106" spans="3:23" x14ac:dyDescent="0.2">
      <c r="C106" s="5"/>
      <c r="I106" s="5"/>
      <c r="L106" s="5"/>
      <c r="M106" s="5"/>
      <c r="N106" s="5"/>
      <c r="P106" s="5"/>
      <c r="Q106" s="5"/>
      <c r="R106" s="5"/>
      <c r="S106" s="5"/>
      <c r="U106" s="5"/>
      <c r="W106" s="5"/>
    </row>
    <row r="107" spans="3:23" x14ac:dyDescent="0.2">
      <c r="C107" s="5"/>
      <c r="I107" s="5"/>
      <c r="L107" s="5"/>
      <c r="M107" s="5"/>
      <c r="N107" s="5"/>
      <c r="P107" s="5"/>
      <c r="Q107" s="5"/>
      <c r="R107" s="5"/>
      <c r="S107" s="5"/>
      <c r="U107" s="5"/>
      <c r="W107" s="5"/>
    </row>
    <row r="108" spans="3:23" x14ac:dyDescent="0.2">
      <c r="C108" s="5"/>
      <c r="I108" s="5"/>
      <c r="L108" s="5"/>
      <c r="M108" s="5"/>
      <c r="N108" s="5"/>
      <c r="P108" s="5"/>
      <c r="Q108" s="5"/>
      <c r="R108" s="5"/>
      <c r="S108" s="5"/>
      <c r="U108" s="5"/>
      <c r="W108" s="5"/>
    </row>
    <row r="109" spans="3:23" x14ac:dyDescent="0.2">
      <c r="C109" s="5"/>
      <c r="I109" s="5"/>
      <c r="L109" s="5"/>
      <c r="M109" s="5"/>
      <c r="N109" s="5"/>
      <c r="P109" s="5"/>
      <c r="Q109" s="5"/>
      <c r="R109" s="5"/>
      <c r="S109" s="5"/>
      <c r="U109" s="5"/>
      <c r="W109" s="5"/>
    </row>
    <row r="110" spans="3:23" x14ac:dyDescent="0.2">
      <c r="C110" s="5"/>
      <c r="I110" s="5"/>
      <c r="L110" s="5"/>
      <c r="M110" s="5"/>
      <c r="N110" s="5"/>
      <c r="P110" s="5"/>
      <c r="Q110" s="5"/>
      <c r="R110" s="5"/>
      <c r="S110" s="5"/>
      <c r="U110" s="5"/>
      <c r="W110" s="5"/>
    </row>
    <row r="111" spans="3:23" x14ac:dyDescent="0.2">
      <c r="C111" s="5"/>
      <c r="I111" s="5"/>
      <c r="L111" s="5"/>
      <c r="M111" s="5"/>
      <c r="N111" s="5"/>
      <c r="P111" s="5"/>
      <c r="Q111" s="5"/>
      <c r="R111" s="5"/>
      <c r="S111" s="5"/>
      <c r="U111" s="5"/>
      <c r="W111" s="5"/>
    </row>
    <row r="112" spans="3:23" ht="20.25" customHeight="1" x14ac:dyDescent="0.2">
      <c r="C112" s="5"/>
      <c r="I112" s="5"/>
      <c r="L112" s="5"/>
      <c r="M112" s="5"/>
      <c r="N112" s="5"/>
      <c r="P112" s="5"/>
      <c r="Q112" s="5"/>
      <c r="R112" s="5"/>
      <c r="S112" s="5"/>
      <c r="U112" s="5"/>
      <c r="W112" s="5"/>
    </row>
    <row r="113" spans="3:23" x14ac:dyDescent="0.2">
      <c r="C113" s="5"/>
      <c r="I113" s="5"/>
      <c r="L113" s="5"/>
      <c r="M113" s="5"/>
      <c r="N113" s="5"/>
      <c r="P113" s="5"/>
      <c r="Q113" s="5"/>
      <c r="R113" s="5"/>
      <c r="S113" s="5"/>
      <c r="U113" s="5"/>
      <c r="W113" s="5"/>
    </row>
    <row r="114" spans="3:23" x14ac:dyDescent="0.2">
      <c r="C114" s="5"/>
      <c r="I114" s="5"/>
      <c r="L114" s="5"/>
      <c r="M114" s="5"/>
      <c r="N114" s="5"/>
      <c r="P114" s="5"/>
      <c r="Q114" s="5"/>
      <c r="R114" s="5"/>
      <c r="S114" s="5"/>
      <c r="U114" s="5"/>
      <c r="W114" s="5"/>
    </row>
    <row r="115" spans="3:23" x14ac:dyDescent="0.2">
      <c r="C115" s="5"/>
      <c r="I115" s="5"/>
      <c r="L115" s="5"/>
      <c r="M115" s="5"/>
      <c r="N115" s="5"/>
      <c r="P115" s="5"/>
      <c r="Q115" s="5"/>
      <c r="R115" s="5"/>
      <c r="S115" s="5"/>
      <c r="U115" s="5"/>
      <c r="W115" s="5"/>
    </row>
    <row r="116" spans="3:23" x14ac:dyDescent="0.2">
      <c r="C116" s="5"/>
      <c r="I116" s="5"/>
      <c r="L116" s="5"/>
      <c r="M116" s="5"/>
      <c r="N116" s="5"/>
      <c r="P116" s="5"/>
      <c r="Q116" s="5"/>
      <c r="R116" s="5"/>
      <c r="S116" s="5"/>
      <c r="U116" s="5"/>
      <c r="W116" s="5"/>
    </row>
    <row r="117" spans="3:23" x14ac:dyDescent="0.2">
      <c r="C117" s="5"/>
      <c r="I117" s="5"/>
      <c r="L117" s="5"/>
      <c r="M117" s="5"/>
      <c r="N117" s="5"/>
      <c r="P117" s="5"/>
      <c r="Q117" s="5"/>
      <c r="R117" s="5"/>
      <c r="S117" s="5"/>
      <c r="U117" s="5"/>
      <c r="W117" s="5"/>
    </row>
    <row r="118" spans="3:23" x14ac:dyDescent="0.2">
      <c r="C118" s="5"/>
      <c r="I118" s="5"/>
      <c r="L118" s="5"/>
      <c r="M118" s="5"/>
      <c r="N118" s="5"/>
      <c r="P118" s="5"/>
      <c r="Q118" s="5"/>
      <c r="R118" s="5"/>
      <c r="S118" s="5"/>
      <c r="U118" s="5"/>
      <c r="W118" s="5"/>
    </row>
    <row r="119" spans="3:23" x14ac:dyDescent="0.2">
      <c r="C119" s="5"/>
      <c r="I119" s="5"/>
      <c r="L119" s="5"/>
      <c r="M119" s="5"/>
      <c r="N119" s="5"/>
      <c r="P119" s="5"/>
      <c r="Q119" s="5"/>
      <c r="R119" s="5"/>
      <c r="S119" s="5"/>
      <c r="U119" s="5"/>
      <c r="W119" s="5"/>
    </row>
    <row r="120" spans="3:23" x14ac:dyDescent="0.2">
      <c r="C120" s="5"/>
      <c r="I120" s="5"/>
      <c r="L120" s="5"/>
      <c r="M120" s="5"/>
      <c r="N120" s="5"/>
      <c r="P120" s="5"/>
      <c r="Q120" s="5"/>
      <c r="R120" s="5"/>
      <c r="S120" s="5"/>
      <c r="U120" s="5"/>
      <c r="W120" s="5"/>
    </row>
    <row r="121" spans="3:23" ht="18.75" customHeight="1" x14ac:dyDescent="0.2">
      <c r="C121" s="5"/>
      <c r="I121" s="5"/>
      <c r="L121" s="5"/>
      <c r="M121" s="5"/>
      <c r="N121" s="5"/>
      <c r="P121" s="5"/>
      <c r="Q121" s="5"/>
      <c r="R121" s="5"/>
      <c r="S121" s="5"/>
      <c r="U121" s="5"/>
      <c r="W121" s="5"/>
    </row>
    <row r="122" spans="3:23" x14ac:dyDescent="0.2">
      <c r="C122" s="5"/>
      <c r="I122" s="5"/>
      <c r="L122" s="5"/>
      <c r="M122" s="5"/>
      <c r="N122" s="5"/>
      <c r="P122" s="5"/>
      <c r="Q122" s="5"/>
      <c r="R122" s="5"/>
      <c r="S122" s="5"/>
      <c r="U122" s="5"/>
      <c r="W122" s="5"/>
    </row>
    <row r="123" spans="3:23" x14ac:dyDescent="0.2">
      <c r="C123" s="5"/>
      <c r="I123" s="5"/>
      <c r="L123" s="5"/>
      <c r="M123" s="5"/>
      <c r="N123" s="5"/>
      <c r="P123" s="5"/>
      <c r="Q123" s="5"/>
      <c r="R123" s="5"/>
      <c r="S123" s="5"/>
      <c r="U123" s="5"/>
      <c r="W123" s="5"/>
    </row>
    <row r="124" spans="3:23" x14ac:dyDescent="0.2">
      <c r="C124" s="5"/>
      <c r="I124" s="5"/>
      <c r="L124" s="5"/>
      <c r="M124" s="5"/>
      <c r="N124" s="5"/>
      <c r="P124" s="5"/>
      <c r="Q124" s="5"/>
      <c r="R124" s="5"/>
      <c r="S124" s="5"/>
      <c r="U124" s="5"/>
      <c r="W124" s="5"/>
    </row>
    <row r="125" spans="3:23" x14ac:dyDescent="0.2">
      <c r="C125" s="5"/>
      <c r="I125" s="5"/>
      <c r="L125" s="5"/>
      <c r="M125" s="5"/>
      <c r="N125" s="5"/>
      <c r="P125" s="5"/>
      <c r="Q125" s="5"/>
      <c r="R125" s="5"/>
      <c r="S125" s="5"/>
      <c r="U125" s="5"/>
      <c r="W125" s="5"/>
    </row>
    <row r="126" spans="3:23" x14ac:dyDescent="0.2">
      <c r="C126" s="5"/>
      <c r="I126" s="5"/>
      <c r="L126" s="5"/>
      <c r="M126" s="5"/>
      <c r="N126" s="5"/>
      <c r="P126" s="5"/>
      <c r="Q126" s="5"/>
      <c r="R126" s="5"/>
      <c r="S126" s="5"/>
      <c r="U126" s="5"/>
      <c r="W126" s="5"/>
    </row>
    <row r="127" spans="3:23" x14ac:dyDescent="0.2">
      <c r="C127" s="5"/>
      <c r="I127" s="5"/>
      <c r="L127" s="5"/>
      <c r="M127" s="5"/>
      <c r="N127" s="5"/>
      <c r="P127" s="5"/>
      <c r="Q127" s="5"/>
      <c r="R127" s="5"/>
      <c r="S127" s="5"/>
      <c r="U127" s="5"/>
      <c r="W127" s="5"/>
    </row>
    <row r="128" spans="3:23" x14ac:dyDescent="0.2">
      <c r="C128" s="5"/>
      <c r="I128" s="5"/>
      <c r="L128" s="5"/>
      <c r="M128" s="5"/>
      <c r="N128" s="5"/>
      <c r="P128" s="5"/>
      <c r="Q128" s="5"/>
      <c r="R128" s="5"/>
      <c r="S128" s="5"/>
      <c r="U128" s="5"/>
      <c r="W128" s="5"/>
    </row>
    <row r="129" spans="3:23" x14ac:dyDescent="0.2">
      <c r="C129" s="5"/>
      <c r="I129" s="5"/>
      <c r="L129" s="5"/>
      <c r="M129" s="5"/>
      <c r="N129" s="5"/>
      <c r="P129" s="5"/>
      <c r="Q129" s="5"/>
      <c r="R129" s="5"/>
      <c r="S129" s="5"/>
      <c r="U129" s="5"/>
      <c r="W129" s="5"/>
    </row>
    <row r="130" spans="3:23" x14ac:dyDescent="0.2">
      <c r="C130" s="5"/>
      <c r="I130" s="5"/>
      <c r="L130" s="5"/>
      <c r="M130" s="5"/>
      <c r="N130" s="5"/>
      <c r="P130" s="5"/>
      <c r="Q130" s="5"/>
      <c r="R130" s="5"/>
      <c r="S130" s="5"/>
      <c r="U130" s="5"/>
      <c r="W130" s="5"/>
    </row>
    <row r="131" spans="3:23" x14ac:dyDescent="0.2">
      <c r="C131" s="5"/>
      <c r="I131" s="5"/>
      <c r="L131" s="5"/>
      <c r="M131" s="5"/>
      <c r="N131" s="5"/>
      <c r="P131" s="5"/>
      <c r="Q131" s="5"/>
      <c r="R131" s="5"/>
      <c r="S131" s="5"/>
      <c r="U131" s="5"/>
      <c r="W131" s="5"/>
    </row>
    <row r="132" spans="3:23" x14ac:dyDescent="0.2">
      <c r="C132" s="5"/>
      <c r="I132" s="5"/>
      <c r="L132" s="5"/>
      <c r="M132" s="5"/>
      <c r="N132" s="5"/>
      <c r="P132" s="5"/>
      <c r="Q132" s="5"/>
      <c r="R132" s="5"/>
      <c r="S132" s="5"/>
      <c r="U132" s="5"/>
      <c r="W132" s="5"/>
    </row>
    <row r="133" spans="3:23" x14ac:dyDescent="0.2">
      <c r="C133" s="5"/>
      <c r="I133" s="5"/>
      <c r="L133" s="5"/>
      <c r="M133" s="5"/>
      <c r="N133" s="5"/>
      <c r="P133" s="5"/>
      <c r="Q133" s="5"/>
      <c r="R133" s="5"/>
      <c r="S133" s="5"/>
      <c r="U133" s="5"/>
      <c r="W133" s="5"/>
    </row>
    <row r="134" spans="3:23" x14ac:dyDescent="0.2">
      <c r="C134" s="5"/>
      <c r="I134" s="5"/>
      <c r="L134" s="5"/>
      <c r="M134" s="5"/>
      <c r="N134" s="5"/>
      <c r="P134" s="5"/>
      <c r="Q134" s="5"/>
      <c r="R134" s="5"/>
      <c r="S134" s="5"/>
      <c r="U134" s="5"/>
      <c r="W134" s="5"/>
    </row>
    <row r="135" spans="3:23" x14ac:dyDescent="0.2">
      <c r="C135" s="5"/>
      <c r="I135" s="5"/>
      <c r="L135" s="5"/>
      <c r="M135" s="5"/>
      <c r="N135" s="5"/>
      <c r="P135" s="5"/>
      <c r="Q135" s="5"/>
      <c r="R135" s="5"/>
      <c r="S135" s="5"/>
      <c r="U135" s="5"/>
      <c r="W135" s="5"/>
    </row>
    <row r="136" spans="3:23" x14ac:dyDescent="0.2">
      <c r="C136" s="5"/>
      <c r="I136" s="5"/>
      <c r="L136" s="5"/>
      <c r="M136" s="5"/>
      <c r="N136" s="5"/>
      <c r="P136" s="5"/>
      <c r="Q136" s="5"/>
      <c r="R136" s="5"/>
      <c r="S136" s="5"/>
      <c r="U136" s="5"/>
      <c r="W136" s="5"/>
    </row>
    <row r="137" spans="3:23" x14ac:dyDescent="0.2">
      <c r="C137" s="5"/>
      <c r="I137" s="5"/>
      <c r="L137" s="5"/>
      <c r="M137" s="5"/>
      <c r="N137" s="5"/>
      <c r="P137" s="5"/>
      <c r="Q137" s="5"/>
      <c r="R137" s="5"/>
      <c r="S137" s="5"/>
      <c r="U137" s="5"/>
      <c r="W137" s="5"/>
    </row>
    <row r="138" spans="3:23" x14ac:dyDescent="0.2">
      <c r="C138" s="5"/>
      <c r="I138" s="5"/>
      <c r="L138" s="5"/>
      <c r="M138" s="5"/>
      <c r="N138" s="5"/>
      <c r="P138" s="5"/>
      <c r="Q138" s="5"/>
      <c r="R138" s="5"/>
      <c r="S138" s="5"/>
      <c r="U138" s="5"/>
      <c r="W138" s="5"/>
    </row>
    <row r="139" spans="3:23" x14ac:dyDescent="0.2">
      <c r="C139" s="5"/>
      <c r="I139" s="5"/>
      <c r="L139" s="5"/>
      <c r="M139" s="5"/>
      <c r="N139" s="5"/>
      <c r="P139" s="5"/>
      <c r="Q139" s="5"/>
      <c r="R139" s="5"/>
      <c r="S139" s="5"/>
      <c r="U139" s="5"/>
      <c r="W139" s="5"/>
    </row>
    <row r="140" spans="3:23" x14ac:dyDescent="0.2">
      <c r="C140" s="5"/>
      <c r="I140" s="5"/>
      <c r="L140" s="5"/>
      <c r="M140" s="5"/>
      <c r="N140" s="5"/>
      <c r="P140" s="5"/>
      <c r="Q140" s="5"/>
      <c r="R140" s="5"/>
      <c r="S140" s="5"/>
      <c r="U140" s="5"/>
      <c r="W140" s="5"/>
    </row>
    <row r="141" spans="3:23" x14ac:dyDescent="0.2">
      <c r="C141" s="5"/>
      <c r="I141" s="5"/>
      <c r="L141" s="5"/>
      <c r="M141" s="5"/>
      <c r="N141" s="5"/>
      <c r="P141" s="5"/>
      <c r="Q141" s="5"/>
      <c r="R141" s="5"/>
      <c r="S141" s="5"/>
      <c r="U141" s="5"/>
      <c r="W141" s="5"/>
    </row>
    <row r="142" spans="3:23" x14ac:dyDescent="0.2">
      <c r="C142" s="5"/>
      <c r="I142" s="5"/>
      <c r="L142" s="5"/>
      <c r="M142" s="5"/>
      <c r="N142" s="5"/>
      <c r="P142" s="5"/>
      <c r="Q142" s="5"/>
      <c r="R142" s="5"/>
      <c r="S142" s="5"/>
      <c r="U142" s="5"/>
      <c r="W142" s="5"/>
    </row>
    <row r="143" spans="3:23" x14ac:dyDescent="0.2">
      <c r="C143" s="5"/>
      <c r="I143" s="5"/>
      <c r="L143" s="5"/>
      <c r="M143" s="5"/>
      <c r="N143" s="5"/>
      <c r="P143" s="5"/>
      <c r="Q143" s="5"/>
      <c r="R143" s="5"/>
      <c r="S143" s="5"/>
      <c r="U143" s="5"/>
      <c r="W143" s="5"/>
    </row>
    <row r="144" spans="3:23" x14ac:dyDescent="0.2">
      <c r="C144" s="5"/>
      <c r="I144" s="5"/>
      <c r="L144" s="5"/>
      <c r="M144" s="5"/>
      <c r="N144" s="5"/>
      <c r="P144" s="5"/>
      <c r="Q144" s="5"/>
      <c r="R144" s="5"/>
      <c r="S144" s="5"/>
      <c r="U144" s="5"/>
      <c r="W144" s="5"/>
    </row>
    <row r="145" spans="3:23" x14ac:dyDescent="0.2">
      <c r="C145" s="5"/>
      <c r="I145" s="5"/>
      <c r="L145" s="5"/>
      <c r="M145" s="5"/>
      <c r="N145" s="5"/>
      <c r="P145" s="5"/>
      <c r="Q145" s="5"/>
      <c r="R145" s="5"/>
      <c r="S145" s="5"/>
      <c r="U145" s="5"/>
      <c r="W145" s="5"/>
    </row>
    <row r="146" spans="3:23" x14ac:dyDescent="0.2">
      <c r="C146" s="5"/>
      <c r="I146" s="5"/>
      <c r="L146" s="5"/>
      <c r="M146" s="5"/>
      <c r="N146" s="5"/>
      <c r="P146" s="5"/>
      <c r="Q146" s="5"/>
      <c r="R146" s="5"/>
      <c r="S146" s="5"/>
      <c r="U146" s="5"/>
      <c r="W146" s="5"/>
    </row>
    <row r="147" spans="3:23" x14ac:dyDescent="0.2">
      <c r="C147" s="5"/>
      <c r="I147" s="5"/>
      <c r="L147" s="5"/>
      <c r="M147" s="5"/>
      <c r="N147" s="5"/>
      <c r="P147" s="5"/>
      <c r="Q147" s="5"/>
      <c r="R147" s="5"/>
      <c r="S147" s="5"/>
      <c r="U147" s="5"/>
      <c r="W147" s="5"/>
    </row>
    <row r="148" spans="3:23" x14ac:dyDescent="0.2">
      <c r="C148" s="5"/>
      <c r="I148" s="5"/>
      <c r="L148" s="5"/>
      <c r="M148" s="5"/>
      <c r="N148" s="5"/>
      <c r="P148" s="5"/>
      <c r="Q148" s="5"/>
      <c r="R148" s="5"/>
      <c r="S148" s="5"/>
      <c r="U148" s="5"/>
      <c r="W148" s="5"/>
    </row>
    <row r="149" spans="3:23" x14ac:dyDescent="0.2">
      <c r="C149" s="5"/>
      <c r="I149" s="5"/>
      <c r="L149" s="5"/>
      <c r="M149" s="5"/>
      <c r="N149" s="5"/>
      <c r="P149" s="5"/>
      <c r="Q149" s="5"/>
      <c r="R149" s="5"/>
      <c r="S149" s="5"/>
      <c r="U149" s="5"/>
      <c r="W149" s="5"/>
    </row>
    <row r="150" spans="3:23" x14ac:dyDescent="0.2">
      <c r="C150" s="5"/>
      <c r="I150" s="5"/>
      <c r="L150" s="5"/>
      <c r="M150" s="5"/>
      <c r="N150" s="5"/>
      <c r="P150" s="5"/>
      <c r="Q150" s="5"/>
      <c r="R150" s="5"/>
      <c r="S150" s="5"/>
      <c r="U150" s="5"/>
      <c r="W150" s="5"/>
    </row>
    <row r="151" spans="3:23" x14ac:dyDescent="0.2">
      <c r="C151" s="5"/>
      <c r="I151" s="5"/>
      <c r="L151" s="5"/>
      <c r="M151" s="5"/>
      <c r="N151" s="5"/>
      <c r="P151" s="5"/>
      <c r="Q151" s="5"/>
      <c r="R151" s="5"/>
      <c r="S151" s="5"/>
      <c r="U151" s="5"/>
      <c r="W151" s="5"/>
    </row>
    <row r="152" spans="3:23" x14ac:dyDescent="0.2">
      <c r="C152" s="5"/>
      <c r="I152" s="5"/>
      <c r="L152" s="5"/>
      <c r="M152" s="5"/>
      <c r="N152" s="5"/>
      <c r="P152" s="5"/>
      <c r="Q152" s="5"/>
      <c r="R152" s="5"/>
      <c r="S152" s="5"/>
      <c r="U152" s="5"/>
      <c r="W152" s="5"/>
    </row>
    <row r="153" spans="3:23" x14ac:dyDescent="0.2">
      <c r="C153" s="5"/>
      <c r="I153" s="5"/>
      <c r="L153" s="5"/>
      <c r="M153" s="5"/>
      <c r="N153" s="5"/>
      <c r="P153" s="5"/>
      <c r="Q153" s="5"/>
      <c r="R153" s="5"/>
      <c r="S153" s="5"/>
      <c r="U153" s="5"/>
      <c r="W153" s="5"/>
    </row>
    <row r="154" spans="3:23" x14ac:dyDescent="0.2">
      <c r="C154" s="5"/>
      <c r="I154" s="5"/>
      <c r="L154" s="5"/>
      <c r="M154" s="5"/>
      <c r="N154" s="5"/>
      <c r="P154" s="5"/>
      <c r="Q154" s="5"/>
      <c r="R154" s="5"/>
      <c r="S154" s="5"/>
      <c r="U154" s="5"/>
      <c r="W154" s="5"/>
    </row>
    <row r="155" spans="3:23" x14ac:dyDescent="0.2">
      <c r="C155" s="5"/>
      <c r="I155" s="5"/>
      <c r="L155" s="5"/>
      <c r="M155" s="5"/>
      <c r="N155" s="5"/>
      <c r="P155" s="5"/>
      <c r="Q155" s="5"/>
      <c r="R155" s="5"/>
      <c r="S155" s="5"/>
      <c r="U155" s="5"/>
      <c r="W155" s="5"/>
    </row>
    <row r="156" spans="3:23" x14ac:dyDescent="0.2">
      <c r="C156" s="5"/>
      <c r="I156" s="5"/>
      <c r="L156" s="5"/>
      <c r="M156" s="5"/>
      <c r="N156" s="5"/>
      <c r="P156" s="5"/>
      <c r="Q156" s="5"/>
      <c r="R156" s="5"/>
      <c r="S156" s="5"/>
      <c r="U156" s="5"/>
      <c r="W156" s="5"/>
    </row>
    <row r="157" spans="3:23" x14ac:dyDescent="0.2">
      <c r="C157" s="5"/>
      <c r="I157" s="5"/>
      <c r="L157" s="5"/>
      <c r="M157" s="5"/>
      <c r="N157" s="5"/>
      <c r="P157" s="5"/>
      <c r="Q157" s="5"/>
      <c r="R157" s="5"/>
      <c r="S157" s="5"/>
      <c r="U157" s="5"/>
      <c r="W157" s="5"/>
    </row>
    <row r="158" spans="3:23" x14ac:dyDescent="0.2">
      <c r="C158" s="5"/>
      <c r="I158" s="5"/>
      <c r="L158" s="5"/>
      <c r="M158" s="5"/>
      <c r="N158" s="5"/>
      <c r="P158" s="5"/>
      <c r="Q158" s="5"/>
      <c r="R158" s="5"/>
      <c r="S158" s="5"/>
      <c r="U158" s="5"/>
      <c r="W158" s="5"/>
    </row>
    <row r="159" spans="3:23" ht="20.100000000000001" customHeight="1" x14ac:dyDescent="0.2">
      <c r="C159" s="5"/>
      <c r="I159" s="5"/>
      <c r="L159" s="5"/>
      <c r="M159" s="5"/>
      <c r="N159" s="5"/>
      <c r="P159" s="5"/>
      <c r="Q159" s="5"/>
      <c r="R159" s="5"/>
      <c r="S159" s="5"/>
      <c r="U159" s="5"/>
      <c r="W159" s="5"/>
    </row>
    <row r="160" spans="3:23" x14ac:dyDescent="0.2">
      <c r="C160" s="5"/>
      <c r="I160" s="5"/>
      <c r="L160" s="5"/>
      <c r="M160" s="5"/>
      <c r="N160" s="5"/>
      <c r="P160" s="5"/>
      <c r="Q160" s="5"/>
      <c r="R160" s="5"/>
      <c r="S160" s="5"/>
      <c r="U160" s="5"/>
      <c r="W160" s="5"/>
    </row>
    <row r="161" spans="3:23" x14ac:dyDescent="0.2">
      <c r="C161" s="5"/>
      <c r="I161" s="5"/>
      <c r="L161" s="5"/>
      <c r="M161" s="5"/>
      <c r="N161" s="5"/>
      <c r="P161" s="5"/>
      <c r="Q161" s="5"/>
      <c r="R161" s="5"/>
      <c r="S161" s="5"/>
      <c r="U161" s="5"/>
      <c r="W161" s="5"/>
    </row>
    <row r="162" spans="3:23" x14ac:dyDescent="0.2">
      <c r="C162" s="5"/>
      <c r="I162" s="5"/>
      <c r="L162" s="5"/>
      <c r="M162" s="5"/>
      <c r="N162" s="5"/>
      <c r="P162" s="5"/>
      <c r="Q162" s="5"/>
      <c r="R162" s="5"/>
      <c r="S162" s="5"/>
      <c r="U162" s="5"/>
      <c r="W162" s="5"/>
    </row>
    <row r="163" spans="3:23" x14ac:dyDescent="0.2">
      <c r="C163" s="5"/>
      <c r="I163" s="5"/>
      <c r="L163" s="5"/>
      <c r="M163" s="5"/>
      <c r="N163" s="5"/>
      <c r="P163" s="5"/>
      <c r="Q163" s="5"/>
      <c r="R163" s="5"/>
      <c r="S163" s="5"/>
      <c r="U163" s="5"/>
      <c r="W163" s="5"/>
    </row>
    <row r="164" spans="3:23" x14ac:dyDescent="0.2">
      <c r="C164" s="5"/>
      <c r="I164" s="5"/>
      <c r="L164" s="5"/>
      <c r="M164" s="5"/>
      <c r="N164" s="5"/>
      <c r="P164" s="5"/>
      <c r="Q164" s="5"/>
      <c r="R164" s="5"/>
      <c r="S164" s="5"/>
      <c r="U164" s="5"/>
      <c r="W164" s="5"/>
    </row>
    <row r="165" spans="3:23" x14ac:dyDescent="0.2">
      <c r="C165" s="5"/>
      <c r="I165" s="5"/>
      <c r="L165" s="5"/>
      <c r="M165" s="5"/>
      <c r="N165" s="5"/>
      <c r="P165" s="5"/>
      <c r="Q165" s="5"/>
      <c r="R165" s="5"/>
      <c r="S165" s="5"/>
      <c r="U165" s="5"/>
      <c r="W165" s="5"/>
    </row>
    <row r="166" spans="3:23" x14ac:dyDescent="0.2">
      <c r="C166" s="5"/>
      <c r="I166" s="5"/>
      <c r="L166" s="5"/>
      <c r="M166" s="5"/>
      <c r="N166" s="5"/>
      <c r="P166" s="5"/>
      <c r="Q166" s="5"/>
      <c r="R166" s="5"/>
      <c r="S166" s="5"/>
      <c r="U166" s="5"/>
      <c r="W166" s="5"/>
    </row>
    <row r="167" spans="3:23" x14ac:dyDescent="0.2">
      <c r="C167" s="5"/>
      <c r="I167" s="5"/>
      <c r="L167" s="5"/>
      <c r="M167" s="5"/>
      <c r="N167" s="5"/>
      <c r="P167" s="5"/>
      <c r="Q167" s="5"/>
      <c r="R167" s="5"/>
      <c r="S167" s="5"/>
      <c r="U167" s="5"/>
      <c r="W167" s="5"/>
    </row>
    <row r="168" spans="3:23" x14ac:dyDescent="0.2">
      <c r="C168" s="5"/>
      <c r="I168" s="5"/>
      <c r="L168" s="5"/>
      <c r="M168" s="5"/>
      <c r="N168" s="5"/>
      <c r="P168" s="5"/>
      <c r="Q168" s="5"/>
      <c r="R168" s="5"/>
      <c r="S168" s="5"/>
      <c r="U168" s="5"/>
      <c r="W168" s="5"/>
    </row>
    <row r="169" spans="3:23" x14ac:dyDescent="0.2">
      <c r="C169" s="5"/>
      <c r="I169" s="5"/>
      <c r="L169" s="5"/>
      <c r="M169" s="5"/>
      <c r="N169" s="5"/>
      <c r="P169" s="5"/>
      <c r="Q169" s="5"/>
      <c r="R169" s="5"/>
      <c r="S169" s="5"/>
      <c r="U169" s="5"/>
      <c r="W169" s="5"/>
    </row>
    <row r="170" spans="3:23" x14ac:dyDescent="0.2">
      <c r="C170" s="5"/>
      <c r="I170" s="5"/>
      <c r="L170" s="5"/>
      <c r="M170" s="5"/>
      <c r="N170" s="5"/>
      <c r="P170" s="5"/>
      <c r="Q170" s="5"/>
      <c r="R170" s="5"/>
      <c r="S170" s="5"/>
      <c r="U170" s="5"/>
      <c r="W170" s="5"/>
    </row>
    <row r="171" spans="3:23" x14ac:dyDescent="0.2">
      <c r="C171" s="5"/>
      <c r="I171" s="5"/>
      <c r="L171" s="5"/>
      <c r="M171" s="5"/>
      <c r="N171" s="5"/>
      <c r="P171" s="5"/>
      <c r="Q171" s="5"/>
      <c r="R171" s="5"/>
      <c r="S171" s="5"/>
      <c r="U171" s="5"/>
      <c r="W171" s="5"/>
    </row>
    <row r="172" spans="3:23" x14ac:dyDescent="0.2">
      <c r="C172" s="5"/>
      <c r="I172" s="5"/>
      <c r="L172" s="5"/>
      <c r="M172" s="5"/>
      <c r="N172" s="5"/>
      <c r="P172" s="5"/>
      <c r="Q172" s="5"/>
      <c r="R172" s="5"/>
      <c r="S172" s="5"/>
      <c r="U172" s="5"/>
      <c r="W172" s="5"/>
    </row>
    <row r="173" spans="3:23" x14ac:dyDescent="0.2">
      <c r="C173" s="5"/>
      <c r="I173" s="5"/>
      <c r="L173" s="5"/>
      <c r="M173" s="5"/>
      <c r="N173" s="5"/>
      <c r="P173" s="5"/>
      <c r="Q173" s="5"/>
      <c r="R173" s="5"/>
      <c r="S173" s="5"/>
      <c r="U173" s="5"/>
      <c r="W173" s="5"/>
    </row>
    <row r="174" spans="3:23" x14ac:dyDescent="0.2">
      <c r="C174" s="5"/>
      <c r="I174" s="5"/>
      <c r="L174" s="5"/>
      <c r="M174" s="5"/>
      <c r="N174" s="5"/>
      <c r="P174" s="5"/>
      <c r="Q174" s="5"/>
      <c r="R174" s="5"/>
      <c r="S174" s="5"/>
      <c r="U174" s="5"/>
      <c r="W174" s="5"/>
    </row>
    <row r="175" spans="3:23" x14ac:dyDescent="0.2">
      <c r="C175" s="5"/>
      <c r="I175" s="5"/>
      <c r="L175" s="5"/>
      <c r="M175" s="5"/>
      <c r="N175" s="5"/>
      <c r="P175" s="5"/>
      <c r="Q175" s="5"/>
      <c r="R175" s="5"/>
      <c r="S175" s="5"/>
      <c r="U175" s="5"/>
      <c r="W175" s="5"/>
    </row>
    <row r="176" spans="3:23" x14ac:dyDescent="0.2">
      <c r="C176" s="5"/>
      <c r="I176" s="5"/>
      <c r="L176" s="5"/>
      <c r="M176" s="5"/>
      <c r="N176" s="5"/>
      <c r="P176" s="5"/>
      <c r="Q176" s="5"/>
      <c r="R176" s="5"/>
      <c r="S176" s="5"/>
      <c r="U176" s="5"/>
      <c r="W176" s="5"/>
    </row>
    <row r="177" spans="3:23" x14ac:dyDescent="0.2">
      <c r="C177" s="5"/>
      <c r="I177" s="5"/>
      <c r="L177" s="5"/>
      <c r="M177" s="5"/>
      <c r="N177" s="5"/>
      <c r="P177" s="5"/>
      <c r="Q177" s="5"/>
      <c r="R177" s="5"/>
      <c r="S177" s="5"/>
      <c r="U177" s="5"/>
      <c r="W177" s="5"/>
    </row>
    <row r="178" spans="3:23" x14ac:dyDescent="0.2">
      <c r="C178" s="5"/>
      <c r="I178" s="5"/>
      <c r="L178" s="5"/>
      <c r="M178" s="5"/>
      <c r="N178" s="5"/>
      <c r="P178" s="5"/>
      <c r="Q178" s="5"/>
      <c r="R178" s="5"/>
      <c r="S178" s="5"/>
      <c r="U178" s="5"/>
      <c r="W178" s="5"/>
    </row>
    <row r="179" spans="3:23" x14ac:dyDescent="0.2">
      <c r="C179" s="5"/>
      <c r="I179" s="5"/>
      <c r="L179" s="5"/>
      <c r="M179" s="5"/>
      <c r="N179" s="5"/>
      <c r="P179" s="5"/>
      <c r="Q179" s="5"/>
      <c r="R179" s="5"/>
      <c r="S179" s="5"/>
      <c r="U179" s="5"/>
      <c r="W179" s="5"/>
    </row>
    <row r="180" spans="3:23" x14ac:dyDescent="0.2">
      <c r="C180" s="5"/>
      <c r="I180" s="5"/>
      <c r="L180" s="5"/>
      <c r="M180" s="5"/>
      <c r="N180" s="5"/>
      <c r="P180" s="5"/>
      <c r="Q180" s="5"/>
      <c r="R180" s="5"/>
      <c r="S180" s="5"/>
      <c r="U180" s="5"/>
      <c r="W180" s="5"/>
    </row>
    <row r="181" spans="3:23" x14ac:dyDescent="0.2">
      <c r="C181" s="5"/>
      <c r="I181" s="5"/>
      <c r="L181" s="5"/>
      <c r="M181" s="5"/>
      <c r="N181" s="5"/>
      <c r="P181" s="5"/>
      <c r="Q181" s="5"/>
      <c r="R181" s="5"/>
      <c r="S181" s="5"/>
      <c r="U181" s="5"/>
      <c r="W181" s="5"/>
    </row>
    <row r="182" spans="3:23" x14ac:dyDescent="0.2">
      <c r="C182" s="5"/>
      <c r="I182" s="5"/>
      <c r="L182" s="5"/>
      <c r="M182" s="5"/>
      <c r="N182" s="5"/>
      <c r="P182" s="5"/>
      <c r="Q182" s="5"/>
      <c r="R182" s="5"/>
      <c r="S182" s="5"/>
      <c r="U182" s="5"/>
      <c r="W182" s="5"/>
    </row>
    <row r="183" spans="3:23" x14ac:dyDescent="0.2">
      <c r="C183" s="5"/>
      <c r="I183" s="5"/>
      <c r="L183" s="5"/>
      <c r="M183" s="5"/>
      <c r="N183" s="5"/>
      <c r="P183" s="5"/>
      <c r="Q183" s="5"/>
      <c r="R183" s="5"/>
      <c r="S183" s="5"/>
      <c r="U183" s="5"/>
      <c r="W183" s="5"/>
    </row>
    <row r="184" spans="3:23" x14ac:dyDescent="0.2">
      <c r="C184" s="5"/>
      <c r="I184" s="5"/>
      <c r="L184" s="5"/>
      <c r="M184" s="5"/>
      <c r="N184" s="5"/>
      <c r="P184" s="5"/>
      <c r="Q184" s="5"/>
      <c r="R184" s="5"/>
      <c r="S184" s="5"/>
      <c r="U184" s="5"/>
      <c r="W184" s="5"/>
    </row>
    <row r="185" spans="3:23" x14ac:dyDescent="0.2">
      <c r="C185" s="5"/>
      <c r="I185" s="5"/>
      <c r="L185" s="5"/>
      <c r="M185" s="5"/>
      <c r="N185" s="5"/>
      <c r="P185" s="5"/>
      <c r="Q185" s="5"/>
      <c r="R185" s="5"/>
      <c r="S185" s="5"/>
      <c r="U185" s="5"/>
      <c r="W185" s="5"/>
    </row>
    <row r="186" spans="3:23" x14ac:dyDescent="0.2">
      <c r="C186" s="5"/>
      <c r="I186" s="5"/>
      <c r="L186" s="5"/>
      <c r="M186" s="5"/>
      <c r="N186" s="5"/>
      <c r="P186" s="5"/>
      <c r="Q186" s="5"/>
      <c r="R186" s="5"/>
      <c r="S186" s="5"/>
      <c r="U186" s="5"/>
      <c r="W186" s="5"/>
    </row>
    <row r="187" spans="3:23" x14ac:dyDescent="0.2">
      <c r="C187" s="5"/>
      <c r="I187" s="5"/>
      <c r="L187" s="5"/>
      <c r="M187" s="5"/>
      <c r="N187" s="5"/>
      <c r="P187" s="5"/>
      <c r="Q187" s="5"/>
      <c r="R187" s="5"/>
      <c r="S187" s="5"/>
      <c r="U187" s="5"/>
      <c r="W187" s="5"/>
    </row>
    <row r="188" spans="3:23" x14ac:dyDescent="0.2">
      <c r="C188" s="5"/>
      <c r="I188" s="5"/>
      <c r="L188" s="5"/>
      <c r="M188" s="5"/>
      <c r="N188" s="5"/>
      <c r="P188" s="5"/>
      <c r="Q188" s="5"/>
      <c r="R188" s="5"/>
      <c r="S188" s="5"/>
      <c r="U188" s="5"/>
      <c r="W188" s="5"/>
    </row>
    <row r="189" spans="3:23" x14ac:dyDescent="0.2">
      <c r="C189" s="5"/>
      <c r="I189" s="5"/>
      <c r="L189" s="5"/>
      <c r="M189" s="5"/>
      <c r="N189" s="5"/>
      <c r="P189" s="5"/>
      <c r="Q189" s="5"/>
      <c r="R189" s="5"/>
      <c r="S189" s="5"/>
      <c r="U189" s="5"/>
      <c r="W189" s="5"/>
    </row>
    <row r="190" spans="3:23" x14ac:dyDescent="0.2">
      <c r="C190" s="5"/>
      <c r="I190" s="5"/>
      <c r="L190" s="5"/>
      <c r="M190" s="5"/>
      <c r="N190" s="5"/>
      <c r="P190" s="5"/>
      <c r="Q190" s="5"/>
      <c r="R190" s="5"/>
      <c r="S190" s="5"/>
      <c r="U190" s="5"/>
      <c r="W190" s="5"/>
    </row>
    <row r="191" spans="3:23" x14ac:dyDescent="0.2">
      <c r="C191" s="5"/>
      <c r="I191" s="5"/>
      <c r="L191" s="5"/>
      <c r="M191" s="5"/>
      <c r="N191" s="5"/>
      <c r="P191" s="5"/>
      <c r="Q191" s="5"/>
      <c r="R191" s="5"/>
      <c r="S191" s="5"/>
      <c r="U191" s="5"/>
      <c r="W191" s="5"/>
    </row>
    <row r="192" spans="3:23" ht="16.899999999999999" customHeight="1" x14ac:dyDescent="0.2">
      <c r="C192" s="5"/>
      <c r="I192" s="5"/>
      <c r="L192" s="5"/>
      <c r="M192" s="5"/>
      <c r="N192" s="5"/>
      <c r="P192" s="5"/>
      <c r="Q192" s="5"/>
      <c r="R192" s="5"/>
      <c r="S192" s="5"/>
      <c r="U192" s="5"/>
      <c r="W192" s="5"/>
    </row>
    <row r="193" spans="3:23" ht="18" customHeight="1" x14ac:dyDescent="0.2">
      <c r="C193" s="5"/>
      <c r="I193" s="5"/>
      <c r="L193" s="5"/>
      <c r="M193" s="5"/>
      <c r="N193" s="5"/>
      <c r="P193" s="5"/>
      <c r="Q193" s="5"/>
      <c r="R193" s="5"/>
      <c r="S193" s="5"/>
      <c r="U193" s="5"/>
      <c r="W193" s="5"/>
    </row>
    <row r="194" spans="3:23" x14ac:dyDescent="0.2">
      <c r="C194" s="5"/>
      <c r="I194" s="5"/>
      <c r="L194" s="5"/>
      <c r="M194" s="5"/>
      <c r="N194" s="5"/>
      <c r="P194" s="5"/>
      <c r="Q194" s="5"/>
      <c r="R194" s="5"/>
      <c r="S194" s="5"/>
      <c r="U194" s="5"/>
      <c r="W194" s="5"/>
    </row>
    <row r="195" spans="3:23" x14ac:dyDescent="0.2">
      <c r="C195" s="5"/>
      <c r="I195" s="5"/>
      <c r="L195" s="5"/>
      <c r="M195" s="5"/>
      <c r="N195" s="5"/>
      <c r="P195" s="5"/>
      <c r="Q195" s="5"/>
      <c r="R195" s="5"/>
      <c r="S195" s="5"/>
      <c r="U195" s="5"/>
      <c r="W195" s="5"/>
    </row>
    <row r="196" spans="3:23" x14ac:dyDescent="0.2">
      <c r="C196" s="5"/>
      <c r="I196" s="5"/>
      <c r="L196" s="5"/>
      <c r="M196" s="5"/>
      <c r="N196" s="5"/>
      <c r="P196" s="5"/>
      <c r="Q196" s="5"/>
      <c r="R196" s="5"/>
      <c r="S196" s="5"/>
      <c r="U196" s="5"/>
      <c r="W196" s="5"/>
    </row>
    <row r="197" spans="3:23" x14ac:dyDescent="0.2">
      <c r="C197" s="5"/>
      <c r="I197" s="5"/>
      <c r="L197" s="5"/>
      <c r="M197" s="5"/>
      <c r="N197" s="5"/>
      <c r="P197" s="5"/>
      <c r="Q197" s="5"/>
      <c r="R197" s="5"/>
      <c r="S197" s="5"/>
      <c r="U197" s="5"/>
      <c r="W197" s="5"/>
    </row>
    <row r="198" spans="3:23" x14ac:dyDescent="0.2">
      <c r="C198" s="5"/>
      <c r="I198" s="5"/>
      <c r="L198" s="5"/>
      <c r="M198" s="5"/>
      <c r="N198" s="5"/>
      <c r="P198" s="5"/>
      <c r="Q198" s="5"/>
      <c r="R198" s="5"/>
      <c r="S198" s="5"/>
      <c r="U198" s="5"/>
      <c r="W198" s="5"/>
    </row>
    <row r="199" spans="3:23" x14ac:dyDescent="0.2">
      <c r="C199" s="5"/>
      <c r="I199" s="5"/>
      <c r="L199" s="5"/>
      <c r="M199" s="5"/>
      <c r="N199" s="5"/>
      <c r="P199" s="5"/>
      <c r="Q199" s="5"/>
      <c r="R199" s="5"/>
      <c r="S199" s="5"/>
      <c r="U199" s="5"/>
      <c r="W199" s="5"/>
    </row>
    <row r="200" spans="3:23" x14ac:dyDescent="0.2">
      <c r="C200" s="5"/>
      <c r="I200" s="5"/>
      <c r="L200" s="5"/>
      <c r="M200" s="5"/>
      <c r="N200" s="5"/>
      <c r="P200" s="5"/>
      <c r="Q200" s="5"/>
      <c r="R200" s="5"/>
      <c r="S200" s="5"/>
      <c r="U200" s="5"/>
      <c r="W200" s="5"/>
    </row>
    <row r="201" spans="3:23" x14ac:dyDescent="0.2">
      <c r="C201" s="5"/>
      <c r="I201" s="5"/>
      <c r="L201" s="5"/>
      <c r="M201" s="5"/>
      <c r="N201" s="5"/>
      <c r="P201" s="5"/>
      <c r="Q201" s="5"/>
      <c r="R201" s="5"/>
      <c r="S201" s="5"/>
      <c r="U201" s="5"/>
      <c r="W201" s="5"/>
    </row>
    <row r="202" spans="3:23" x14ac:dyDescent="0.2">
      <c r="C202" s="5"/>
      <c r="I202" s="5"/>
      <c r="L202" s="5"/>
      <c r="M202" s="5"/>
      <c r="N202" s="5"/>
      <c r="P202" s="5"/>
      <c r="Q202" s="5"/>
      <c r="R202" s="5"/>
      <c r="S202" s="5"/>
      <c r="U202" s="5"/>
      <c r="W202" s="5"/>
    </row>
    <row r="203" spans="3:23" x14ac:dyDescent="0.2">
      <c r="C203" s="5"/>
      <c r="I203" s="5"/>
      <c r="L203" s="5"/>
      <c r="M203" s="5"/>
      <c r="N203" s="5"/>
      <c r="P203" s="5"/>
      <c r="Q203" s="5"/>
      <c r="R203" s="5"/>
      <c r="S203" s="5"/>
      <c r="U203" s="5"/>
      <c r="W203" s="5"/>
    </row>
    <row r="204" spans="3:23" x14ac:dyDescent="0.2">
      <c r="C204" s="5"/>
      <c r="I204" s="5"/>
      <c r="L204" s="5"/>
      <c r="M204" s="5"/>
      <c r="N204" s="5"/>
      <c r="P204" s="5"/>
      <c r="Q204" s="5"/>
      <c r="R204" s="5"/>
      <c r="S204" s="5"/>
      <c r="U204" s="5"/>
      <c r="W204" s="5"/>
    </row>
    <row r="205" spans="3:23" x14ac:dyDescent="0.2">
      <c r="C205" s="5"/>
      <c r="I205" s="5"/>
      <c r="L205" s="5"/>
      <c r="M205" s="5"/>
      <c r="N205" s="5"/>
      <c r="P205" s="5"/>
      <c r="Q205" s="5"/>
      <c r="R205" s="5"/>
      <c r="S205" s="5"/>
      <c r="U205" s="5"/>
      <c r="W205" s="5"/>
    </row>
    <row r="206" spans="3:23" x14ac:dyDescent="0.2">
      <c r="C206" s="5"/>
      <c r="I206" s="5"/>
      <c r="L206" s="5"/>
      <c r="M206" s="5"/>
      <c r="N206" s="5"/>
      <c r="P206" s="5"/>
      <c r="Q206" s="5"/>
      <c r="R206" s="5"/>
      <c r="S206" s="5"/>
      <c r="U206" s="5"/>
      <c r="W206" s="5"/>
    </row>
    <row r="207" spans="3:23" x14ac:dyDescent="0.2">
      <c r="C207" s="5"/>
      <c r="I207" s="5"/>
      <c r="L207" s="5"/>
      <c r="M207" s="5"/>
      <c r="N207" s="5"/>
      <c r="P207" s="5"/>
      <c r="Q207" s="5"/>
      <c r="R207" s="5"/>
      <c r="S207" s="5"/>
      <c r="U207" s="5"/>
      <c r="W207" s="5"/>
    </row>
    <row r="208" spans="3:23" x14ac:dyDescent="0.2">
      <c r="C208" s="5"/>
      <c r="I208" s="5"/>
      <c r="L208" s="5"/>
      <c r="M208" s="5"/>
      <c r="N208" s="5"/>
      <c r="P208" s="5"/>
      <c r="Q208" s="5"/>
      <c r="R208" s="5"/>
      <c r="S208" s="5"/>
      <c r="U208" s="5"/>
      <c r="W208" s="5"/>
    </row>
    <row r="209" spans="3:23" x14ac:dyDescent="0.2">
      <c r="C209" s="5"/>
      <c r="I209" s="5"/>
      <c r="L209" s="5"/>
      <c r="M209" s="5"/>
      <c r="N209" s="5"/>
      <c r="P209" s="5"/>
      <c r="Q209" s="5"/>
      <c r="R209" s="5"/>
      <c r="S209" s="5"/>
      <c r="U209" s="5"/>
      <c r="W209" s="5"/>
    </row>
    <row r="210" spans="3:23" x14ac:dyDescent="0.2">
      <c r="C210" s="5"/>
      <c r="I210" s="5"/>
      <c r="L210" s="5"/>
      <c r="M210" s="5"/>
      <c r="N210" s="5"/>
      <c r="P210" s="5"/>
      <c r="Q210" s="5"/>
      <c r="R210" s="5"/>
      <c r="S210" s="5"/>
      <c r="U210" s="5"/>
      <c r="W210" s="5"/>
    </row>
    <row r="211" spans="3:23" x14ac:dyDescent="0.2">
      <c r="C211" s="5"/>
      <c r="I211" s="5"/>
      <c r="L211" s="5"/>
      <c r="M211" s="5"/>
      <c r="N211" s="5"/>
      <c r="P211" s="5"/>
      <c r="Q211" s="5"/>
      <c r="R211" s="5"/>
      <c r="S211" s="5"/>
      <c r="U211" s="5"/>
      <c r="W211" s="5"/>
    </row>
    <row r="212" spans="3:23" x14ac:dyDescent="0.2">
      <c r="C212" s="5"/>
      <c r="I212" s="5"/>
      <c r="L212" s="5"/>
      <c r="M212" s="5"/>
      <c r="N212" s="5"/>
      <c r="P212" s="5"/>
      <c r="Q212" s="5"/>
      <c r="R212" s="5"/>
      <c r="S212" s="5"/>
      <c r="U212" s="5"/>
      <c r="W212" s="5"/>
    </row>
    <row r="213" spans="3:23" x14ac:dyDescent="0.2">
      <c r="C213" s="5"/>
      <c r="I213" s="5"/>
      <c r="L213" s="5"/>
      <c r="M213" s="5"/>
      <c r="N213" s="5"/>
      <c r="P213" s="5"/>
      <c r="Q213" s="5"/>
      <c r="R213" s="5"/>
      <c r="S213" s="5"/>
      <c r="U213" s="5"/>
      <c r="W213" s="5"/>
    </row>
    <row r="214" spans="3:23" x14ac:dyDescent="0.2">
      <c r="C214" s="5"/>
      <c r="I214" s="5"/>
      <c r="L214" s="5"/>
      <c r="M214" s="5"/>
      <c r="N214" s="5"/>
      <c r="P214" s="5"/>
      <c r="Q214" s="5"/>
      <c r="R214" s="5"/>
      <c r="S214" s="5"/>
      <c r="U214" s="5"/>
      <c r="W214" s="5"/>
    </row>
    <row r="215" spans="3:23" x14ac:dyDescent="0.2">
      <c r="C215" s="5"/>
      <c r="I215" s="5"/>
      <c r="L215" s="5"/>
      <c r="M215" s="5"/>
      <c r="N215" s="5"/>
      <c r="P215" s="5"/>
      <c r="Q215" s="5"/>
      <c r="R215" s="5"/>
      <c r="S215" s="5"/>
      <c r="U215" s="5"/>
      <c r="W215" s="5"/>
    </row>
    <row r="216" spans="3:23" x14ac:dyDescent="0.2">
      <c r="C216" s="5"/>
      <c r="I216" s="5"/>
      <c r="L216" s="5"/>
      <c r="M216" s="5"/>
      <c r="N216" s="5"/>
      <c r="P216" s="5"/>
      <c r="Q216" s="5"/>
      <c r="R216" s="5"/>
      <c r="S216" s="5"/>
      <c r="U216" s="5"/>
      <c r="W216" s="5"/>
    </row>
    <row r="217" spans="3:23" x14ac:dyDescent="0.2">
      <c r="C217" s="5"/>
      <c r="I217" s="5"/>
      <c r="L217" s="5"/>
      <c r="M217" s="5"/>
      <c r="N217" s="5"/>
      <c r="P217" s="5"/>
      <c r="Q217" s="5"/>
      <c r="R217" s="5"/>
      <c r="S217" s="5"/>
      <c r="U217" s="5"/>
      <c r="W217" s="5"/>
    </row>
    <row r="218" spans="3:23" x14ac:dyDescent="0.2">
      <c r="C218" s="5"/>
      <c r="I218" s="5"/>
      <c r="L218" s="5"/>
      <c r="M218" s="5"/>
      <c r="N218" s="5"/>
      <c r="P218" s="5"/>
      <c r="Q218" s="5"/>
      <c r="R218" s="5"/>
      <c r="S218" s="5"/>
      <c r="U218" s="5"/>
      <c r="W218" s="5"/>
    </row>
    <row r="219" spans="3:23" x14ac:dyDescent="0.2">
      <c r="C219" s="5"/>
      <c r="I219" s="5"/>
      <c r="L219" s="5"/>
      <c r="M219" s="5"/>
      <c r="N219" s="5"/>
      <c r="P219" s="5"/>
      <c r="Q219" s="5"/>
      <c r="R219" s="5"/>
      <c r="S219" s="5"/>
      <c r="U219" s="5"/>
      <c r="W219" s="5"/>
    </row>
    <row r="220" spans="3:23" x14ac:dyDescent="0.2">
      <c r="C220" s="5"/>
      <c r="I220" s="5"/>
      <c r="L220" s="5"/>
      <c r="M220" s="5"/>
      <c r="N220" s="5"/>
      <c r="P220" s="5"/>
      <c r="Q220" s="5"/>
      <c r="R220" s="5"/>
      <c r="S220" s="5"/>
      <c r="U220" s="5"/>
      <c r="W220" s="5"/>
    </row>
    <row r="221" spans="3:23" x14ac:dyDescent="0.2">
      <c r="C221" s="5"/>
      <c r="I221" s="5"/>
      <c r="L221" s="5"/>
      <c r="M221" s="5"/>
      <c r="N221" s="5"/>
      <c r="P221" s="5"/>
      <c r="Q221" s="5"/>
      <c r="R221" s="5"/>
      <c r="S221" s="5"/>
      <c r="U221" s="5"/>
      <c r="W221" s="5"/>
    </row>
    <row r="222" spans="3:23" x14ac:dyDescent="0.2">
      <c r="C222" s="5"/>
      <c r="I222" s="5"/>
      <c r="L222" s="5"/>
      <c r="M222" s="5"/>
      <c r="N222" s="5"/>
      <c r="P222" s="5"/>
      <c r="Q222" s="5"/>
      <c r="R222" s="5"/>
      <c r="S222" s="5"/>
      <c r="U222" s="5"/>
      <c r="W222" s="5"/>
    </row>
    <row r="223" spans="3:23" x14ac:dyDescent="0.2">
      <c r="C223" s="5"/>
      <c r="I223" s="5"/>
      <c r="L223" s="5"/>
      <c r="M223" s="5"/>
      <c r="N223" s="5"/>
      <c r="P223" s="5"/>
      <c r="Q223" s="5"/>
      <c r="R223" s="5"/>
      <c r="S223" s="5"/>
      <c r="U223" s="5"/>
      <c r="W223" s="5"/>
    </row>
    <row r="224" spans="3:23" x14ac:dyDescent="0.2">
      <c r="C224" s="5"/>
      <c r="I224" s="5"/>
      <c r="L224" s="5"/>
      <c r="M224" s="5"/>
      <c r="N224" s="5"/>
      <c r="P224" s="5"/>
      <c r="Q224" s="5"/>
      <c r="R224" s="5"/>
      <c r="S224" s="5"/>
      <c r="U224" s="5"/>
      <c r="W224" s="5"/>
    </row>
    <row r="225" spans="3:23" x14ac:dyDescent="0.2">
      <c r="C225" s="5"/>
      <c r="I225" s="5"/>
      <c r="L225" s="5"/>
      <c r="M225" s="5"/>
      <c r="N225" s="5"/>
      <c r="P225" s="5"/>
      <c r="Q225" s="5"/>
      <c r="R225" s="5"/>
      <c r="S225" s="5"/>
      <c r="U225" s="5"/>
      <c r="W225" s="5"/>
    </row>
    <row r="226" spans="3:23" x14ac:dyDescent="0.2">
      <c r="C226" s="5"/>
      <c r="I226" s="5"/>
      <c r="L226" s="5"/>
      <c r="M226" s="5"/>
      <c r="N226" s="5"/>
      <c r="P226" s="5"/>
      <c r="Q226" s="5"/>
      <c r="R226" s="5"/>
      <c r="S226" s="5"/>
      <c r="U226" s="5"/>
      <c r="W226" s="5"/>
    </row>
    <row r="227" spans="3:23" x14ac:dyDescent="0.2">
      <c r="C227" s="5"/>
      <c r="I227" s="5"/>
      <c r="L227" s="5"/>
      <c r="M227" s="5"/>
      <c r="N227" s="5"/>
      <c r="P227" s="5"/>
      <c r="Q227" s="5"/>
      <c r="R227" s="5"/>
      <c r="S227" s="5"/>
      <c r="U227" s="5"/>
      <c r="W227" s="5"/>
    </row>
    <row r="228" spans="3:23" x14ac:dyDescent="0.2">
      <c r="C228" s="5"/>
      <c r="I228" s="5"/>
      <c r="L228" s="5"/>
      <c r="M228" s="5"/>
      <c r="N228" s="5"/>
      <c r="P228" s="5"/>
      <c r="Q228" s="5"/>
      <c r="R228" s="5"/>
      <c r="S228" s="5"/>
      <c r="U228" s="5"/>
      <c r="W228" s="5"/>
    </row>
    <row r="229" spans="3:23" x14ac:dyDescent="0.2">
      <c r="C229" s="5"/>
      <c r="I229" s="5"/>
      <c r="L229" s="5"/>
      <c r="M229" s="5"/>
      <c r="N229" s="5"/>
      <c r="P229" s="5"/>
      <c r="Q229" s="5"/>
      <c r="R229" s="5"/>
      <c r="S229" s="5"/>
      <c r="U229" s="5"/>
      <c r="W229" s="5"/>
    </row>
    <row r="230" spans="3:23" x14ac:dyDescent="0.2">
      <c r="C230" s="5"/>
      <c r="I230" s="5"/>
      <c r="L230" s="5"/>
      <c r="M230" s="5"/>
      <c r="N230" s="5"/>
      <c r="P230" s="5"/>
      <c r="Q230" s="5"/>
      <c r="R230" s="5"/>
      <c r="S230" s="5"/>
      <c r="U230" s="5"/>
      <c r="W230" s="5"/>
    </row>
    <row r="231" spans="3:23" x14ac:dyDescent="0.2">
      <c r="C231" s="5"/>
      <c r="I231" s="5"/>
      <c r="L231" s="5"/>
      <c r="M231" s="5"/>
      <c r="N231" s="5"/>
      <c r="P231" s="5"/>
      <c r="Q231" s="5"/>
      <c r="R231" s="5"/>
      <c r="S231" s="5"/>
      <c r="U231" s="5"/>
      <c r="W231" s="5"/>
    </row>
    <row r="232" spans="3:23" x14ac:dyDescent="0.2">
      <c r="C232" s="5"/>
      <c r="I232" s="5"/>
      <c r="L232" s="5"/>
      <c r="M232" s="5"/>
      <c r="N232" s="5"/>
      <c r="P232" s="5"/>
      <c r="Q232" s="5"/>
      <c r="R232" s="5"/>
      <c r="S232" s="5"/>
      <c r="U232" s="5"/>
      <c r="W232" s="5"/>
    </row>
    <row r="233" spans="3:23" x14ac:dyDescent="0.2">
      <c r="C233" s="5"/>
      <c r="I233" s="5"/>
      <c r="L233" s="5"/>
      <c r="M233" s="5"/>
      <c r="N233" s="5"/>
      <c r="P233" s="5"/>
      <c r="Q233" s="5"/>
      <c r="R233" s="5"/>
      <c r="S233" s="5"/>
      <c r="U233" s="5"/>
      <c r="W233" s="5"/>
    </row>
    <row r="234" spans="3:23" x14ac:dyDescent="0.2">
      <c r="C234" s="5"/>
      <c r="I234" s="5"/>
      <c r="L234" s="5"/>
      <c r="M234" s="5"/>
      <c r="N234" s="5"/>
      <c r="P234" s="5"/>
      <c r="Q234" s="5"/>
      <c r="R234" s="5"/>
      <c r="S234" s="5"/>
      <c r="U234" s="5"/>
      <c r="W234" s="5"/>
    </row>
    <row r="235" spans="3:23" x14ac:dyDescent="0.2">
      <c r="C235" s="5"/>
      <c r="I235" s="5"/>
      <c r="L235" s="5"/>
      <c r="M235" s="5"/>
      <c r="N235" s="5"/>
      <c r="P235" s="5"/>
      <c r="Q235" s="5"/>
      <c r="R235" s="5"/>
      <c r="S235" s="5"/>
      <c r="U235" s="5"/>
      <c r="W235" s="5"/>
    </row>
    <row r="236" spans="3:23" x14ac:dyDescent="0.2">
      <c r="C236" s="5"/>
      <c r="I236" s="5"/>
      <c r="L236" s="5"/>
      <c r="M236" s="5"/>
      <c r="N236" s="5"/>
      <c r="P236" s="5"/>
      <c r="Q236" s="5"/>
      <c r="R236" s="5"/>
      <c r="S236" s="5"/>
      <c r="U236" s="5"/>
      <c r="W236" s="5"/>
    </row>
    <row r="237" spans="3:23" x14ac:dyDescent="0.2">
      <c r="C237" s="5"/>
      <c r="I237" s="5"/>
      <c r="L237" s="5"/>
      <c r="M237" s="5"/>
      <c r="N237" s="5"/>
      <c r="P237" s="5"/>
      <c r="Q237" s="5"/>
      <c r="R237" s="5"/>
      <c r="S237" s="5"/>
      <c r="U237" s="5"/>
      <c r="W237" s="5"/>
    </row>
    <row r="238" spans="3:23" x14ac:dyDescent="0.2">
      <c r="C238" s="5"/>
      <c r="I238" s="5"/>
      <c r="L238" s="5"/>
      <c r="M238" s="5"/>
      <c r="N238" s="5"/>
      <c r="P238" s="5"/>
      <c r="Q238" s="5"/>
      <c r="R238" s="5"/>
      <c r="S238" s="5"/>
      <c r="U238" s="5"/>
      <c r="W238" s="5"/>
    </row>
    <row r="239" spans="3:23" x14ac:dyDescent="0.2">
      <c r="C239" s="5"/>
      <c r="I239" s="5"/>
      <c r="L239" s="5"/>
      <c r="M239" s="5"/>
      <c r="N239" s="5"/>
      <c r="P239" s="5"/>
      <c r="Q239" s="5"/>
      <c r="R239" s="5"/>
      <c r="S239" s="5"/>
      <c r="U239" s="5"/>
      <c r="W239" s="5"/>
    </row>
    <row r="240" spans="3:23" x14ac:dyDescent="0.2">
      <c r="C240" s="5"/>
      <c r="I240" s="5"/>
      <c r="L240" s="5"/>
      <c r="M240" s="5"/>
      <c r="N240" s="5"/>
      <c r="P240" s="5"/>
      <c r="Q240" s="5"/>
      <c r="R240" s="5"/>
      <c r="S240" s="5"/>
      <c r="U240" s="5"/>
      <c r="W240" s="5"/>
    </row>
    <row r="241" spans="3:23" x14ac:dyDescent="0.2">
      <c r="C241" s="5"/>
      <c r="I241" s="5"/>
      <c r="L241" s="5"/>
      <c r="M241" s="5"/>
      <c r="N241" s="5"/>
      <c r="P241" s="5"/>
      <c r="Q241" s="5"/>
      <c r="R241" s="5"/>
      <c r="S241" s="5"/>
      <c r="U241" s="5"/>
      <c r="W241" s="5"/>
    </row>
    <row r="242" spans="3:23" x14ac:dyDescent="0.2">
      <c r="C242" s="5"/>
      <c r="I242" s="5"/>
      <c r="L242" s="5"/>
      <c r="M242" s="5"/>
      <c r="N242" s="5"/>
      <c r="P242" s="5"/>
      <c r="Q242" s="5"/>
      <c r="R242" s="5"/>
      <c r="S242" s="5"/>
      <c r="U242" s="5"/>
      <c r="W242" s="5"/>
    </row>
    <row r="243" spans="3:23" x14ac:dyDescent="0.2">
      <c r="C243" s="5"/>
      <c r="I243" s="5"/>
      <c r="L243" s="5"/>
      <c r="M243" s="5"/>
      <c r="N243" s="5"/>
      <c r="P243" s="5"/>
      <c r="Q243" s="5"/>
      <c r="R243" s="5"/>
      <c r="S243" s="5"/>
      <c r="U243" s="5"/>
      <c r="W243" s="5"/>
    </row>
    <row r="244" spans="3:23" x14ac:dyDescent="0.2">
      <c r="C244" s="5"/>
      <c r="I244" s="5"/>
      <c r="L244" s="5"/>
      <c r="M244" s="5"/>
      <c r="N244" s="5"/>
      <c r="P244" s="5"/>
      <c r="Q244" s="5"/>
      <c r="R244" s="5"/>
      <c r="S244" s="5"/>
      <c r="U244" s="5"/>
      <c r="W244" s="5"/>
    </row>
    <row r="245" spans="3:23" x14ac:dyDescent="0.2">
      <c r="C245" s="5"/>
      <c r="I245" s="5"/>
      <c r="L245" s="5"/>
      <c r="M245" s="5"/>
      <c r="N245" s="5"/>
      <c r="P245" s="5"/>
      <c r="Q245" s="5"/>
      <c r="R245" s="5"/>
      <c r="S245" s="5"/>
      <c r="U245" s="5"/>
      <c r="W245" s="5"/>
    </row>
    <row r="246" spans="3:23" x14ac:dyDescent="0.2">
      <c r="C246" s="5"/>
      <c r="I246" s="5"/>
      <c r="L246" s="5"/>
      <c r="M246" s="5"/>
      <c r="N246" s="5"/>
      <c r="P246" s="5"/>
      <c r="Q246" s="5"/>
      <c r="R246" s="5"/>
      <c r="S246" s="5"/>
      <c r="U246" s="5"/>
      <c r="W246" s="5"/>
    </row>
    <row r="247" spans="3:23" x14ac:dyDescent="0.2">
      <c r="C247" s="5"/>
      <c r="I247" s="5"/>
      <c r="L247" s="5"/>
      <c r="M247" s="5"/>
      <c r="N247" s="5"/>
      <c r="P247" s="5"/>
      <c r="Q247" s="5"/>
      <c r="R247" s="5"/>
      <c r="S247" s="5"/>
      <c r="U247" s="5"/>
      <c r="W247" s="5"/>
    </row>
    <row r="248" spans="3:23" x14ac:dyDescent="0.2">
      <c r="C248" s="5"/>
      <c r="I248" s="5"/>
      <c r="L248" s="5"/>
      <c r="M248" s="5"/>
      <c r="N248" s="5"/>
      <c r="P248" s="5"/>
      <c r="Q248" s="5"/>
      <c r="R248" s="5"/>
      <c r="S248" s="5"/>
      <c r="U248" s="5"/>
      <c r="W248" s="5"/>
    </row>
    <row r="249" spans="3:23" x14ac:dyDescent="0.2">
      <c r="C249" s="5"/>
      <c r="I249" s="5"/>
      <c r="L249" s="5"/>
      <c r="M249" s="5"/>
      <c r="N249" s="5"/>
      <c r="P249" s="5"/>
      <c r="Q249" s="5"/>
      <c r="R249" s="5"/>
      <c r="S249" s="5"/>
      <c r="U249" s="5"/>
      <c r="W249" s="5"/>
    </row>
    <row r="250" spans="3:23" x14ac:dyDescent="0.2">
      <c r="C250" s="5"/>
      <c r="I250" s="5"/>
      <c r="L250" s="5"/>
      <c r="M250" s="5"/>
      <c r="N250" s="5"/>
      <c r="P250" s="5"/>
      <c r="Q250" s="5"/>
      <c r="R250" s="5"/>
      <c r="S250" s="5"/>
      <c r="U250" s="5"/>
      <c r="W250" s="5"/>
    </row>
    <row r="251" spans="3:23" x14ac:dyDescent="0.2">
      <c r="C251" s="5"/>
      <c r="I251" s="5"/>
      <c r="L251" s="5"/>
      <c r="M251" s="5"/>
      <c r="N251" s="5"/>
      <c r="P251" s="5"/>
      <c r="Q251" s="5"/>
      <c r="R251" s="5"/>
      <c r="S251" s="5"/>
      <c r="U251" s="5"/>
      <c r="W251" s="5"/>
    </row>
    <row r="252" spans="3:23" x14ac:dyDescent="0.2">
      <c r="C252" s="5"/>
      <c r="I252" s="5"/>
      <c r="L252" s="5"/>
      <c r="M252" s="5"/>
      <c r="N252" s="5"/>
      <c r="P252" s="5"/>
      <c r="Q252" s="5"/>
      <c r="R252" s="5"/>
      <c r="S252" s="5"/>
      <c r="U252" s="5"/>
      <c r="W252" s="5"/>
    </row>
    <row r="253" spans="3:23" x14ac:dyDescent="0.2">
      <c r="C253" s="5"/>
      <c r="I253" s="5"/>
      <c r="L253" s="5"/>
      <c r="M253" s="5"/>
      <c r="N253" s="5"/>
      <c r="P253" s="5"/>
      <c r="Q253" s="5"/>
      <c r="R253" s="5"/>
      <c r="S253" s="5"/>
      <c r="U253" s="5"/>
      <c r="W253" s="5"/>
    </row>
    <row r="254" spans="3:23" x14ac:dyDescent="0.2">
      <c r="C254" s="5"/>
      <c r="I254" s="5"/>
      <c r="L254" s="5"/>
      <c r="M254" s="5"/>
      <c r="N254" s="5"/>
      <c r="P254" s="5"/>
      <c r="Q254" s="5"/>
      <c r="R254" s="5"/>
      <c r="S254" s="5"/>
      <c r="U254" s="5"/>
      <c r="W254" s="5"/>
    </row>
    <row r="255" spans="3:23" x14ac:dyDescent="0.2">
      <c r="C255" s="5"/>
      <c r="I255" s="5"/>
      <c r="L255" s="5"/>
      <c r="M255" s="5"/>
      <c r="N255" s="5"/>
      <c r="P255" s="5"/>
      <c r="Q255" s="5"/>
      <c r="R255" s="5"/>
      <c r="S255" s="5"/>
      <c r="U255" s="5"/>
      <c r="W255" s="5"/>
    </row>
    <row r="256" spans="3:23" x14ac:dyDescent="0.2">
      <c r="C256" s="5"/>
      <c r="I256" s="5"/>
      <c r="L256" s="5"/>
      <c r="M256" s="5"/>
      <c r="N256" s="5"/>
      <c r="P256" s="5"/>
      <c r="Q256" s="5"/>
      <c r="R256" s="5"/>
      <c r="S256" s="5"/>
      <c r="U256" s="5"/>
      <c r="W256" s="5"/>
    </row>
    <row r="257" spans="3:23" x14ac:dyDescent="0.2">
      <c r="C257" s="5"/>
      <c r="I257" s="5"/>
      <c r="L257" s="5"/>
      <c r="M257" s="5"/>
      <c r="N257" s="5"/>
      <c r="P257" s="5"/>
      <c r="Q257" s="5"/>
      <c r="R257" s="5"/>
      <c r="S257" s="5"/>
      <c r="U257" s="5"/>
      <c r="W257" s="5"/>
    </row>
    <row r="258" spans="3:23" x14ac:dyDescent="0.2">
      <c r="C258" s="5"/>
      <c r="I258" s="5"/>
      <c r="L258" s="5"/>
      <c r="M258" s="5"/>
      <c r="N258" s="5"/>
      <c r="P258" s="5"/>
      <c r="Q258" s="5"/>
      <c r="R258" s="5"/>
      <c r="S258" s="5"/>
      <c r="U258" s="5"/>
      <c r="W258" s="5"/>
    </row>
    <row r="259" spans="3:23" x14ac:dyDescent="0.2">
      <c r="C259" s="5"/>
      <c r="I259" s="5"/>
      <c r="L259" s="5"/>
      <c r="M259" s="5"/>
      <c r="N259" s="5"/>
      <c r="P259" s="5"/>
      <c r="Q259" s="5"/>
      <c r="R259" s="5"/>
      <c r="S259" s="5"/>
      <c r="U259" s="5"/>
      <c r="W259" s="5"/>
    </row>
    <row r="260" spans="3:23" x14ac:dyDescent="0.2">
      <c r="C260" s="5"/>
      <c r="I260" s="5"/>
      <c r="L260" s="5"/>
      <c r="M260" s="5"/>
      <c r="N260" s="5"/>
      <c r="P260" s="5"/>
      <c r="Q260" s="5"/>
      <c r="R260" s="5"/>
      <c r="S260" s="5"/>
      <c r="U260" s="5"/>
      <c r="W260" s="5"/>
    </row>
    <row r="261" spans="3:23" x14ac:dyDescent="0.2">
      <c r="C261" s="5"/>
      <c r="I261" s="5"/>
      <c r="L261" s="5"/>
      <c r="M261" s="5"/>
      <c r="N261" s="5"/>
      <c r="P261" s="5"/>
      <c r="Q261" s="5"/>
      <c r="R261" s="5"/>
      <c r="S261" s="5"/>
      <c r="U261" s="5"/>
      <c r="W261" s="5"/>
    </row>
    <row r="262" spans="3:23" x14ac:dyDescent="0.2">
      <c r="C262" s="5"/>
      <c r="I262" s="5"/>
      <c r="L262" s="5"/>
      <c r="M262" s="5"/>
      <c r="N262" s="5"/>
      <c r="P262" s="5"/>
      <c r="Q262" s="5"/>
      <c r="R262" s="5"/>
      <c r="S262" s="5"/>
      <c r="U262" s="5"/>
      <c r="W262" s="5"/>
    </row>
    <row r="263" spans="3:23" x14ac:dyDescent="0.2">
      <c r="C263" s="5"/>
      <c r="I263" s="5"/>
      <c r="L263" s="5"/>
      <c r="M263" s="5"/>
      <c r="N263" s="5"/>
      <c r="P263" s="5"/>
      <c r="Q263" s="5"/>
      <c r="R263" s="5"/>
      <c r="S263" s="5"/>
      <c r="U263" s="5"/>
      <c r="W263" s="5"/>
    </row>
    <row r="264" spans="3:23" x14ac:dyDescent="0.2">
      <c r="C264" s="5"/>
      <c r="I264" s="5"/>
      <c r="L264" s="5"/>
      <c r="M264" s="5"/>
      <c r="N264" s="5"/>
      <c r="P264" s="5"/>
      <c r="Q264" s="5"/>
      <c r="R264" s="5"/>
      <c r="S264" s="5"/>
      <c r="U264" s="5"/>
      <c r="W264" s="5"/>
    </row>
    <row r="265" spans="3:23" x14ac:dyDescent="0.2">
      <c r="C265" s="5"/>
      <c r="I265" s="5"/>
      <c r="L265" s="5"/>
      <c r="M265" s="5"/>
      <c r="N265" s="5"/>
      <c r="P265" s="5"/>
      <c r="Q265" s="5"/>
      <c r="R265" s="5"/>
      <c r="S265" s="5"/>
      <c r="U265" s="5"/>
      <c r="W265" s="5"/>
    </row>
    <row r="266" spans="3:23" x14ac:dyDescent="0.2">
      <c r="C266" s="5"/>
      <c r="I266" s="5"/>
      <c r="L266" s="5"/>
      <c r="M266" s="5"/>
      <c r="N266" s="5"/>
      <c r="P266" s="5"/>
      <c r="Q266" s="5"/>
      <c r="R266" s="5"/>
      <c r="S266" s="5"/>
      <c r="U266" s="5"/>
      <c r="W266" s="5"/>
    </row>
    <row r="267" spans="3:23" x14ac:dyDescent="0.2">
      <c r="C267" s="5"/>
      <c r="I267" s="5"/>
      <c r="L267" s="5"/>
      <c r="M267" s="5"/>
      <c r="N267" s="5"/>
      <c r="P267" s="5"/>
      <c r="Q267" s="5"/>
      <c r="R267" s="5"/>
      <c r="S267" s="5"/>
      <c r="U267" s="5"/>
      <c r="W267" s="5"/>
    </row>
    <row r="268" spans="3:23" x14ac:dyDescent="0.2">
      <c r="C268" s="5"/>
      <c r="I268" s="5"/>
      <c r="L268" s="5"/>
      <c r="M268" s="5"/>
      <c r="N268" s="5"/>
      <c r="P268" s="5"/>
      <c r="Q268" s="5"/>
      <c r="R268" s="5"/>
      <c r="S268" s="5"/>
      <c r="U268" s="5"/>
      <c r="W268" s="5"/>
    </row>
    <row r="269" spans="3:23" x14ac:dyDescent="0.2">
      <c r="C269" s="5"/>
      <c r="I269" s="5"/>
      <c r="L269" s="5"/>
      <c r="M269" s="5"/>
      <c r="N269" s="5"/>
      <c r="P269" s="5"/>
      <c r="Q269" s="5"/>
      <c r="R269" s="5"/>
      <c r="S269" s="5"/>
      <c r="U269" s="5"/>
      <c r="W269" s="5"/>
    </row>
    <row r="270" spans="3:23" x14ac:dyDescent="0.2">
      <c r="C270" s="5"/>
      <c r="I270" s="5"/>
      <c r="L270" s="5"/>
      <c r="M270" s="5"/>
      <c r="N270" s="5"/>
      <c r="P270" s="5"/>
      <c r="Q270" s="5"/>
      <c r="R270" s="5"/>
      <c r="S270" s="5"/>
      <c r="U270" s="5"/>
      <c r="W270" s="5"/>
    </row>
    <row r="271" spans="3:23" x14ac:dyDescent="0.2">
      <c r="C271" s="5"/>
      <c r="I271" s="5"/>
      <c r="L271" s="5"/>
      <c r="M271" s="5"/>
      <c r="N271" s="5"/>
      <c r="P271" s="5"/>
      <c r="Q271" s="5"/>
      <c r="R271" s="5"/>
      <c r="S271" s="5"/>
      <c r="U271" s="5"/>
      <c r="W271" s="5"/>
    </row>
    <row r="272" spans="3:23" x14ac:dyDescent="0.2">
      <c r="C272" s="5"/>
      <c r="I272" s="5"/>
      <c r="L272" s="5"/>
      <c r="M272" s="5"/>
      <c r="N272" s="5"/>
      <c r="P272" s="5"/>
      <c r="Q272" s="5"/>
      <c r="R272" s="5"/>
      <c r="S272" s="5"/>
      <c r="U272" s="5"/>
      <c r="W272" s="5"/>
    </row>
    <row r="273" spans="3:23" x14ac:dyDescent="0.2">
      <c r="C273" s="5"/>
      <c r="I273" s="5"/>
      <c r="L273" s="5"/>
      <c r="M273" s="5"/>
      <c r="N273" s="5"/>
      <c r="P273" s="5"/>
      <c r="Q273" s="5"/>
      <c r="R273" s="5"/>
      <c r="S273" s="5"/>
      <c r="U273" s="5"/>
      <c r="W273" s="5"/>
    </row>
    <row r="274" spans="3:23" x14ac:dyDescent="0.2">
      <c r="C274" s="5"/>
      <c r="I274" s="5"/>
      <c r="L274" s="5"/>
      <c r="M274" s="5"/>
      <c r="N274" s="5"/>
      <c r="P274" s="5"/>
      <c r="Q274" s="5"/>
      <c r="R274" s="5"/>
      <c r="S274" s="5"/>
      <c r="U274" s="5"/>
      <c r="W274" s="5"/>
    </row>
    <row r="275" spans="3:23" x14ac:dyDescent="0.2">
      <c r="C275" s="5"/>
      <c r="I275" s="5"/>
      <c r="L275" s="5"/>
      <c r="M275" s="5"/>
      <c r="N275" s="5"/>
      <c r="P275" s="5"/>
      <c r="Q275" s="5"/>
      <c r="R275" s="5"/>
      <c r="S275" s="5"/>
      <c r="U275" s="5"/>
      <c r="W275" s="5"/>
    </row>
    <row r="276" spans="3:23" x14ac:dyDescent="0.2">
      <c r="C276" s="5"/>
      <c r="I276" s="5"/>
      <c r="L276" s="5"/>
      <c r="M276" s="5"/>
      <c r="N276" s="5"/>
      <c r="P276" s="5"/>
      <c r="Q276" s="5"/>
      <c r="R276" s="5"/>
      <c r="S276" s="5"/>
      <c r="U276" s="5"/>
      <c r="W276" s="5"/>
    </row>
    <row r="277" spans="3:23" x14ac:dyDescent="0.2">
      <c r="C277" s="5"/>
      <c r="I277" s="5"/>
      <c r="L277" s="5"/>
      <c r="M277" s="5"/>
      <c r="N277" s="5"/>
      <c r="P277" s="5"/>
      <c r="Q277" s="5"/>
      <c r="R277" s="5"/>
      <c r="S277" s="5"/>
      <c r="U277" s="5"/>
      <c r="W277" s="5"/>
    </row>
    <row r="278" spans="3:23" x14ac:dyDescent="0.2">
      <c r="C278" s="5"/>
      <c r="I278" s="5"/>
      <c r="L278" s="5"/>
      <c r="M278" s="5"/>
      <c r="N278" s="5"/>
      <c r="P278" s="5"/>
      <c r="Q278" s="5"/>
      <c r="R278" s="5"/>
      <c r="S278" s="5"/>
      <c r="U278" s="5"/>
      <c r="W278" s="5"/>
    </row>
    <row r="279" spans="3:23" x14ac:dyDescent="0.2">
      <c r="C279" s="5"/>
      <c r="I279" s="5"/>
      <c r="L279" s="5"/>
      <c r="M279" s="5"/>
      <c r="N279" s="5"/>
      <c r="P279" s="5"/>
      <c r="Q279" s="5"/>
      <c r="R279" s="5"/>
      <c r="S279" s="5"/>
      <c r="U279" s="5"/>
      <c r="W279" s="5"/>
    </row>
    <row r="280" spans="3:23" x14ac:dyDescent="0.2">
      <c r="C280" s="5"/>
      <c r="I280" s="5"/>
      <c r="L280" s="5"/>
      <c r="M280" s="5"/>
      <c r="N280" s="5"/>
      <c r="P280" s="5"/>
      <c r="Q280" s="5"/>
      <c r="R280" s="5"/>
      <c r="S280" s="5"/>
      <c r="U280" s="5"/>
      <c r="W280" s="5"/>
    </row>
    <row r="281" spans="3:23" x14ac:dyDescent="0.2">
      <c r="C281" s="5"/>
      <c r="I281" s="5"/>
      <c r="L281" s="5"/>
      <c r="M281" s="5"/>
      <c r="N281" s="5"/>
      <c r="P281" s="5"/>
      <c r="Q281" s="5"/>
      <c r="R281" s="5"/>
      <c r="S281" s="5"/>
      <c r="U281" s="5"/>
      <c r="W281" s="5"/>
    </row>
    <row r="282" spans="3:23" x14ac:dyDescent="0.2">
      <c r="C282" s="5"/>
      <c r="I282" s="5"/>
      <c r="L282" s="5"/>
      <c r="M282" s="5"/>
      <c r="N282" s="5"/>
      <c r="P282" s="5"/>
      <c r="Q282" s="5"/>
      <c r="R282" s="5"/>
      <c r="S282" s="5"/>
      <c r="U282" s="5"/>
      <c r="W282" s="5"/>
    </row>
    <row r="283" spans="3:23" x14ac:dyDescent="0.2">
      <c r="C283" s="5"/>
      <c r="I283" s="5"/>
      <c r="L283" s="5"/>
      <c r="M283" s="5"/>
      <c r="N283" s="5"/>
      <c r="P283" s="5"/>
      <c r="Q283" s="5"/>
      <c r="R283" s="5"/>
      <c r="S283" s="5"/>
      <c r="U283" s="5"/>
      <c r="W283" s="5"/>
    </row>
    <row r="284" spans="3:23" x14ac:dyDescent="0.2">
      <c r="C284" s="5"/>
      <c r="I284" s="5"/>
      <c r="L284" s="5"/>
      <c r="M284" s="5"/>
      <c r="N284" s="5"/>
      <c r="P284" s="5"/>
      <c r="Q284" s="5"/>
      <c r="R284" s="5"/>
      <c r="S284" s="5"/>
      <c r="U284" s="5"/>
      <c r="W284" s="5"/>
    </row>
    <row r="285" spans="3:23" x14ac:dyDescent="0.2">
      <c r="C285" s="5"/>
      <c r="I285" s="5"/>
      <c r="L285" s="5"/>
      <c r="M285" s="5"/>
      <c r="N285" s="5"/>
      <c r="P285" s="5"/>
      <c r="Q285" s="5"/>
      <c r="R285" s="5"/>
      <c r="S285" s="5"/>
      <c r="U285" s="5"/>
      <c r="W285" s="5"/>
    </row>
    <row r="286" spans="3:23" x14ac:dyDescent="0.2">
      <c r="C286" s="5"/>
      <c r="I286" s="5"/>
      <c r="L286" s="5"/>
      <c r="M286" s="5"/>
      <c r="N286" s="5"/>
      <c r="P286" s="5"/>
      <c r="Q286" s="5"/>
      <c r="R286" s="5"/>
      <c r="S286" s="5"/>
      <c r="U286" s="5"/>
      <c r="W286" s="5"/>
    </row>
    <row r="287" spans="3:23" x14ac:dyDescent="0.2">
      <c r="C287" s="5"/>
      <c r="I287" s="5"/>
      <c r="L287" s="5"/>
      <c r="M287" s="5"/>
      <c r="N287" s="5"/>
      <c r="P287" s="5"/>
      <c r="Q287" s="5"/>
      <c r="R287" s="5"/>
      <c r="S287" s="5"/>
      <c r="U287" s="5"/>
      <c r="W287" s="5"/>
    </row>
    <row r="288" spans="3:23" x14ac:dyDescent="0.2">
      <c r="C288" s="5"/>
      <c r="I288" s="5"/>
      <c r="L288" s="5"/>
      <c r="M288" s="5"/>
      <c r="N288" s="5"/>
      <c r="P288" s="5"/>
      <c r="Q288" s="5"/>
      <c r="R288" s="5"/>
      <c r="S288" s="5"/>
      <c r="U288" s="5"/>
      <c r="W288" s="5"/>
    </row>
    <row r="289" spans="3:23" x14ac:dyDescent="0.2">
      <c r="C289" s="5"/>
      <c r="I289" s="5"/>
      <c r="L289" s="5"/>
      <c r="M289" s="5"/>
      <c r="N289" s="5"/>
      <c r="P289" s="5"/>
      <c r="Q289" s="5"/>
      <c r="R289" s="5"/>
      <c r="S289" s="5"/>
      <c r="U289" s="5"/>
      <c r="W289" s="5"/>
    </row>
    <row r="290" spans="3:23" x14ac:dyDescent="0.2">
      <c r="C290" s="5"/>
      <c r="I290" s="5"/>
      <c r="L290" s="5"/>
      <c r="M290" s="5"/>
      <c r="N290" s="5"/>
      <c r="P290" s="5"/>
      <c r="Q290" s="5"/>
      <c r="R290" s="5"/>
      <c r="S290" s="5"/>
      <c r="U290" s="5"/>
      <c r="W290" s="5"/>
    </row>
    <row r="291" spans="3:23" x14ac:dyDescent="0.2">
      <c r="C291" s="5"/>
      <c r="I291" s="5"/>
      <c r="L291" s="5"/>
      <c r="M291" s="5"/>
      <c r="N291" s="5"/>
      <c r="P291" s="5"/>
      <c r="Q291" s="5"/>
      <c r="R291" s="5"/>
      <c r="S291" s="5"/>
      <c r="U291" s="5"/>
      <c r="W291" s="5"/>
    </row>
    <row r="292" spans="3:23" x14ac:dyDescent="0.2">
      <c r="C292" s="5"/>
      <c r="I292" s="5"/>
      <c r="L292" s="5"/>
      <c r="M292" s="5"/>
      <c r="N292" s="5"/>
      <c r="P292" s="5"/>
      <c r="Q292" s="5"/>
      <c r="R292" s="5"/>
      <c r="S292" s="5"/>
      <c r="U292" s="5"/>
      <c r="W292" s="5"/>
    </row>
    <row r="293" spans="3:23" x14ac:dyDescent="0.2">
      <c r="C293" s="5"/>
      <c r="I293" s="5"/>
      <c r="L293" s="5"/>
      <c r="M293" s="5"/>
      <c r="N293" s="5"/>
      <c r="P293" s="5"/>
      <c r="Q293" s="5"/>
      <c r="R293" s="5"/>
      <c r="S293" s="5"/>
      <c r="U293" s="5"/>
      <c r="W293" s="5"/>
    </row>
    <row r="294" spans="3:23" x14ac:dyDescent="0.2">
      <c r="C294" s="5"/>
      <c r="I294" s="5"/>
      <c r="L294" s="5"/>
      <c r="M294" s="5"/>
      <c r="N294" s="5"/>
      <c r="P294" s="5"/>
      <c r="Q294" s="5"/>
      <c r="R294" s="5"/>
      <c r="S294" s="5"/>
      <c r="U294" s="5"/>
      <c r="W294" s="5"/>
    </row>
    <row r="295" spans="3:23" x14ac:dyDescent="0.2">
      <c r="C295" s="5"/>
      <c r="I295" s="5"/>
      <c r="L295" s="5"/>
      <c r="M295" s="5"/>
      <c r="N295" s="5"/>
      <c r="P295" s="5"/>
      <c r="Q295" s="5"/>
      <c r="R295" s="5"/>
      <c r="S295" s="5"/>
      <c r="U295" s="5"/>
      <c r="W295" s="5"/>
    </row>
    <row r="296" spans="3:23" x14ac:dyDescent="0.2">
      <c r="C296" s="5"/>
      <c r="I296" s="5"/>
      <c r="L296" s="5"/>
      <c r="M296" s="5"/>
      <c r="N296" s="5"/>
      <c r="P296" s="5"/>
      <c r="Q296" s="5"/>
      <c r="R296" s="5"/>
      <c r="S296" s="5"/>
      <c r="U296" s="5"/>
      <c r="W296" s="5"/>
    </row>
    <row r="297" spans="3:23" x14ac:dyDescent="0.2">
      <c r="C297" s="5"/>
      <c r="I297" s="5"/>
      <c r="L297" s="5"/>
      <c r="M297" s="5"/>
      <c r="N297" s="5"/>
      <c r="P297" s="5"/>
      <c r="Q297" s="5"/>
      <c r="R297" s="5"/>
      <c r="S297" s="5"/>
      <c r="U297" s="5"/>
      <c r="W297" s="5"/>
    </row>
    <row r="298" spans="3:23" x14ac:dyDescent="0.2">
      <c r="C298" s="5"/>
      <c r="I298" s="5"/>
      <c r="L298" s="5"/>
      <c r="M298" s="5"/>
      <c r="N298" s="5"/>
      <c r="P298" s="5"/>
      <c r="Q298" s="5"/>
      <c r="R298" s="5"/>
      <c r="S298" s="5"/>
      <c r="U298" s="5"/>
      <c r="W298" s="5"/>
    </row>
    <row r="299" spans="3:23" x14ac:dyDescent="0.2">
      <c r="C299" s="5"/>
      <c r="I299" s="5"/>
      <c r="L299" s="5"/>
      <c r="M299" s="5"/>
      <c r="N299" s="5"/>
      <c r="P299" s="5"/>
      <c r="Q299" s="5"/>
      <c r="R299" s="5"/>
      <c r="S299" s="5"/>
      <c r="U299" s="5"/>
      <c r="W299" s="5"/>
    </row>
    <row r="300" spans="3:23" x14ac:dyDescent="0.2">
      <c r="C300" s="5"/>
      <c r="I300" s="5"/>
      <c r="L300" s="5"/>
      <c r="M300" s="5"/>
      <c r="N300" s="5"/>
      <c r="P300" s="5"/>
      <c r="Q300" s="5"/>
      <c r="R300" s="5"/>
      <c r="S300" s="5"/>
      <c r="U300" s="5"/>
      <c r="W300" s="5"/>
    </row>
    <row r="301" spans="3:23" x14ac:dyDescent="0.2">
      <c r="C301" s="5"/>
      <c r="I301" s="5"/>
      <c r="L301" s="5"/>
      <c r="M301" s="5"/>
      <c r="N301" s="5"/>
      <c r="P301" s="5"/>
      <c r="Q301" s="5"/>
      <c r="R301" s="5"/>
      <c r="S301" s="5"/>
      <c r="U301" s="5"/>
      <c r="W301" s="5"/>
    </row>
    <row r="302" spans="3:23" x14ac:dyDescent="0.2">
      <c r="C302" s="5"/>
      <c r="I302" s="5"/>
      <c r="L302" s="5"/>
      <c r="M302" s="5"/>
      <c r="N302" s="5"/>
      <c r="P302" s="5"/>
      <c r="Q302" s="5"/>
      <c r="R302" s="5"/>
      <c r="S302" s="5"/>
      <c r="U302" s="5"/>
      <c r="W302" s="5"/>
    </row>
    <row r="303" spans="3:23" x14ac:dyDescent="0.2">
      <c r="C303" s="5"/>
      <c r="I303" s="5"/>
      <c r="L303" s="5"/>
      <c r="M303" s="5"/>
      <c r="N303" s="5"/>
      <c r="P303" s="5"/>
      <c r="Q303" s="5"/>
      <c r="R303" s="5"/>
      <c r="S303" s="5"/>
      <c r="U303" s="5"/>
      <c r="W303" s="5"/>
    </row>
    <row r="304" spans="3:23" x14ac:dyDescent="0.2">
      <c r="C304" s="5"/>
      <c r="I304" s="5"/>
      <c r="L304" s="5"/>
      <c r="M304" s="5"/>
      <c r="N304" s="5"/>
      <c r="P304" s="5"/>
      <c r="Q304" s="5"/>
      <c r="R304" s="5"/>
      <c r="S304" s="5"/>
      <c r="U304" s="5"/>
      <c r="W304" s="5"/>
    </row>
    <row r="305" spans="3:23" x14ac:dyDescent="0.2">
      <c r="C305" s="5"/>
      <c r="I305" s="5"/>
      <c r="L305" s="5"/>
      <c r="M305" s="5"/>
      <c r="N305" s="5"/>
      <c r="P305" s="5"/>
      <c r="Q305" s="5"/>
      <c r="R305" s="5"/>
      <c r="S305" s="5"/>
      <c r="U305" s="5"/>
      <c r="W305" s="5"/>
    </row>
    <row r="306" spans="3:23" x14ac:dyDescent="0.2">
      <c r="C306" s="5"/>
      <c r="I306" s="5"/>
      <c r="L306" s="5"/>
      <c r="M306" s="5"/>
      <c r="N306" s="5"/>
      <c r="P306" s="5"/>
      <c r="Q306" s="5"/>
      <c r="R306" s="5"/>
      <c r="S306" s="5"/>
      <c r="U306" s="5"/>
      <c r="W306" s="5"/>
    </row>
    <row r="307" spans="3:23" x14ac:dyDescent="0.2">
      <c r="C307" s="5"/>
      <c r="I307" s="5"/>
      <c r="L307" s="5"/>
      <c r="M307" s="5"/>
      <c r="N307" s="5"/>
      <c r="P307" s="5"/>
      <c r="Q307" s="5"/>
      <c r="R307" s="5"/>
      <c r="S307" s="5"/>
      <c r="U307" s="5"/>
      <c r="W307" s="5"/>
    </row>
    <row r="308" spans="3:23" x14ac:dyDescent="0.2">
      <c r="C308" s="5"/>
      <c r="I308" s="5"/>
      <c r="L308" s="5"/>
      <c r="M308" s="5"/>
      <c r="N308" s="5"/>
      <c r="P308" s="5"/>
      <c r="Q308" s="5"/>
      <c r="R308" s="5"/>
      <c r="S308" s="5"/>
      <c r="U308" s="5"/>
      <c r="W308" s="5"/>
    </row>
    <row r="309" spans="3:23" x14ac:dyDescent="0.2">
      <c r="C309" s="5"/>
      <c r="I309" s="5"/>
      <c r="L309" s="5"/>
      <c r="M309" s="5"/>
      <c r="N309" s="5"/>
      <c r="P309" s="5"/>
      <c r="Q309" s="5"/>
      <c r="R309" s="5"/>
      <c r="S309" s="5"/>
      <c r="U309" s="5"/>
      <c r="W309" s="5"/>
    </row>
    <row r="310" spans="3:23" x14ac:dyDescent="0.2">
      <c r="C310" s="5"/>
      <c r="I310" s="5"/>
      <c r="L310" s="5"/>
      <c r="M310" s="5"/>
      <c r="N310" s="5"/>
      <c r="P310" s="5"/>
      <c r="Q310" s="5"/>
      <c r="R310" s="5"/>
      <c r="S310" s="5"/>
      <c r="U310" s="5"/>
      <c r="W310" s="5"/>
    </row>
    <row r="311" spans="3:23" x14ac:dyDescent="0.2">
      <c r="C311" s="5"/>
      <c r="I311" s="5"/>
      <c r="L311" s="5"/>
      <c r="M311" s="5"/>
      <c r="N311" s="5"/>
      <c r="P311" s="5"/>
      <c r="Q311" s="5"/>
      <c r="R311" s="5"/>
      <c r="S311" s="5"/>
      <c r="U311" s="5"/>
      <c r="W311" s="5"/>
    </row>
    <row r="312" spans="3:23" x14ac:dyDescent="0.2">
      <c r="C312" s="5"/>
      <c r="I312" s="5"/>
      <c r="L312" s="5"/>
      <c r="M312" s="5"/>
      <c r="N312" s="5"/>
      <c r="P312" s="5"/>
      <c r="Q312" s="5"/>
      <c r="R312" s="5"/>
      <c r="S312" s="5"/>
      <c r="U312" s="5"/>
      <c r="W312" s="5"/>
    </row>
    <row r="313" spans="3:23" x14ac:dyDescent="0.2">
      <c r="C313" s="5"/>
      <c r="I313" s="5"/>
      <c r="L313" s="5"/>
      <c r="M313" s="5"/>
      <c r="N313" s="5"/>
      <c r="P313" s="5"/>
      <c r="Q313" s="5"/>
      <c r="R313" s="5"/>
      <c r="S313" s="5"/>
      <c r="U313" s="5"/>
      <c r="W313" s="5"/>
    </row>
    <row r="314" spans="3:23" x14ac:dyDescent="0.2">
      <c r="C314" s="5"/>
      <c r="I314" s="5"/>
      <c r="L314" s="5"/>
      <c r="M314" s="5"/>
      <c r="N314" s="5"/>
      <c r="P314" s="5"/>
      <c r="Q314" s="5"/>
      <c r="R314" s="5"/>
      <c r="S314" s="5"/>
      <c r="U314" s="5"/>
      <c r="W314" s="5"/>
    </row>
    <row r="315" spans="3:23" x14ac:dyDescent="0.2">
      <c r="C315" s="5"/>
      <c r="I315" s="5"/>
      <c r="L315" s="5"/>
      <c r="M315" s="5"/>
      <c r="N315" s="5"/>
      <c r="P315" s="5"/>
      <c r="Q315" s="5"/>
      <c r="R315" s="5"/>
      <c r="S315" s="5"/>
      <c r="U315" s="5"/>
      <c r="W315" s="5"/>
    </row>
    <row r="316" spans="3:23" x14ac:dyDescent="0.2">
      <c r="C316" s="5"/>
      <c r="I316" s="5"/>
      <c r="L316" s="5"/>
      <c r="M316" s="5"/>
      <c r="N316" s="5"/>
      <c r="P316" s="5"/>
      <c r="Q316" s="5"/>
      <c r="R316" s="5"/>
      <c r="S316" s="5"/>
      <c r="U316" s="5"/>
      <c r="W316" s="5"/>
    </row>
    <row r="317" spans="3:23" x14ac:dyDescent="0.2">
      <c r="C317" s="5"/>
      <c r="I317" s="5"/>
      <c r="L317" s="5"/>
      <c r="M317" s="5"/>
      <c r="N317" s="5"/>
      <c r="P317" s="5"/>
      <c r="Q317" s="5"/>
      <c r="R317" s="5"/>
      <c r="S317" s="5"/>
      <c r="U317" s="5"/>
      <c r="W317" s="5"/>
    </row>
    <row r="318" spans="3:23" x14ac:dyDescent="0.2">
      <c r="C318" s="5"/>
      <c r="I318" s="5"/>
      <c r="L318" s="5"/>
      <c r="M318" s="5"/>
      <c r="N318" s="5"/>
      <c r="P318" s="5"/>
      <c r="Q318" s="5"/>
      <c r="R318" s="5"/>
      <c r="S318" s="5"/>
      <c r="U318" s="5"/>
      <c r="W318" s="5"/>
    </row>
    <row r="319" spans="3:23" x14ac:dyDescent="0.2">
      <c r="C319" s="5"/>
      <c r="I319" s="5"/>
      <c r="L319" s="5"/>
      <c r="M319" s="5"/>
      <c r="N319" s="5"/>
      <c r="P319" s="5"/>
      <c r="Q319" s="5"/>
      <c r="R319" s="5"/>
      <c r="S319" s="5"/>
      <c r="U319" s="5"/>
      <c r="W319" s="5"/>
    </row>
    <row r="320" spans="3:23" x14ac:dyDescent="0.2">
      <c r="C320" s="5"/>
      <c r="I320" s="5"/>
      <c r="L320" s="5"/>
      <c r="M320" s="5"/>
      <c r="N320" s="5"/>
      <c r="P320" s="5"/>
      <c r="Q320" s="5"/>
      <c r="R320" s="5"/>
      <c r="S320" s="5"/>
      <c r="U320" s="5"/>
      <c r="W320" s="5"/>
    </row>
    <row r="321" spans="3:23" x14ac:dyDescent="0.2">
      <c r="C321" s="5"/>
      <c r="I321" s="5"/>
      <c r="L321" s="5"/>
      <c r="M321" s="5"/>
      <c r="N321" s="5"/>
      <c r="P321" s="5"/>
      <c r="Q321" s="5"/>
      <c r="R321" s="5"/>
      <c r="S321" s="5"/>
      <c r="U321" s="5"/>
      <c r="W321" s="5"/>
    </row>
    <row r="322" spans="3:23" x14ac:dyDescent="0.2">
      <c r="C322" s="5"/>
      <c r="I322" s="5"/>
      <c r="L322" s="5"/>
      <c r="M322" s="5"/>
      <c r="N322" s="5"/>
      <c r="P322" s="5"/>
      <c r="Q322" s="5"/>
      <c r="R322" s="5"/>
      <c r="S322" s="5"/>
      <c r="U322" s="5"/>
      <c r="W322" s="5"/>
    </row>
    <row r="323" spans="3:23" x14ac:dyDescent="0.2">
      <c r="C323" s="5"/>
      <c r="I323" s="5"/>
      <c r="L323" s="5"/>
      <c r="M323" s="5"/>
      <c r="N323" s="5"/>
      <c r="P323" s="5"/>
      <c r="Q323" s="5"/>
      <c r="R323" s="5"/>
      <c r="S323" s="5"/>
      <c r="U323" s="5"/>
      <c r="W323" s="5"/>
    </row>
    <row r="324" spans="3:23" x14ac:dyDescent="0.2">
      <c r="C324" s="5"/>
      <c r="I324" s="5"/>
      <c r="L324" s="5"/>
      <c r="M324" s="5"/>
      <c r="N324" s="5"/>
      <c r="P324" s="5"/>
      <c r="Q324" s="5"/>
      <c r="R324" s="5"/>
      <c r="S324" s="5"/>
      <c r="U324" s="5"/>
      <c r="W324" s="5"/>
    </row>
    <row r="325" spans="3:23" x14ac:dyDescent="0.2">
      <c r="C325" s="5"/>
      <c r="I325" s="5"/>
      <c r="L325" s="5"/>
      <c r="M325" s="5"/>
      <c r="N325" s="5"/>
      <c r="P325" s="5"/>
      <c r="Q325" s="5"/>
      <c r="R325" s="5"/>
      <c r="S325" s="5"/>
      <c r="U325" s="5"/>
      <c r="W325" s="5"/>
    </row>
    <row r="326" spans="3:23" x14ac:dyDescent="0.2">
      <c r="C326" s="5"/>
      <c r="I326" s="5"/>
      <c r="L326" s="5"/>
      <c r="M326" s="5"/>
      <c r="N326" s="5"/>
      <c r="P326" s="5"/>
      <c r="Q326" s="5"/>
      <c r="R326" s="5"/>
      <c r="S326" s="5"/>
      <c r="U326" s="5"/>
      <c r="W326" s="5"/>
    </row>
    <row r="327" spans="3:23" x14ac:dyDescent="0.2">
      <c r="C327" s="5"/>
      <c r="I327" s="5"/>
      <c r="L327" s="5"/>
      <c r="M327" s="5"/>
      <c r="N327" s="5"/>
      <c r="P327" s="5"/>
      <c r="Q327" s="5"/>
      <c r="R327" s="5"/>
      <c r="S327" s="5"/>
      <c r="U327" s="5"/>
      <c r="W327" s="5"/>
    </row>
    <row r="328" spans="3:23" x14ac:dyDescent="0.2">
      <c r="C328" s="5"/>
      <c r="I328" s="5"/>
      <c r="L328" s="5"/>
      <c r="M328" s="5"/>
      <c r="N328" s="5"/>
      <c r="P328" s="5"/>
      <c r="Q328" s="5"/>
      <c r="R328" s="5"/>
      <c r="S328" s="5"/>
      <c r="U328" s="5"/>
      <c r="W328" s="5"/>
    </row>
    <row r="329" spans="3:23" x14ac:dyDescent="0.2">
      <c r="C329" s="5"/>
      <c r="I329" s="5"/>
      <c r="L329" s="5"/>
      <c r="M329" s="5"/>
      <c r="N329" s="5"/>
      <c r="P329" s="5"/>
      <c r="Q329" s="5"/>
      <c r="R329" s="5"/>
      <c r="S329" s="5"/>
      <c r="U329" s="5"/>
      <c r="W329" s="5"/>
    </row>
    <row r="330" spans="3:23" x14ac:dyDescent="0.2">
      <c r="C330" s="5"/>
      <c r="I330" s="5"/>
      <c r="L330" s="5"/>
      <c r="M330" s="5"/>
      <c r="N330" s="5"/>
      <c r="P330" s="5"/>
      <c r="Q330" s="5"/>
      <c r="R330" s="5"/>
      <c r="S330" s="5"/>
      <c r="U330" s="5"/>
      <c r="W330" s="5"/>
    </row>
    <row r="331" spans="3:23" x14ac:dyDescent="0.2">
      <c r="C331" s="5"/>
      <c r="I331" s="5"/>
      <c r="L331" s="5"/>
      <c r="M331" s="5"/>
      <c r="N331" s="5"/>
      <c r="P331" s="5"/>
      <c r="Q331" s="5"/>
      <c r="R331" s="5"/>
      <c r="S331" s="5"/>
      <c r="U331" s="5"/>
      <c r="W331" s="5"/>
    </row>
    <row r="332" spans="3:23" x14ac:dyDescent="0.2">
      <c r="C332" s="5"/>
      <c r="I332" s="5"/>
      <c r="L332" s="5"/>
      <c r="M332" s="5"/>
      <c r="N332" s="5"/>
      <c r="P332" s="5"/>
      <c r="Q332" s="5"/>
      <c r="R332" s="5"/>
      <c r="S332" s="5"/>
      <c r="U332" s="5"/>
      <c r="W332" s="5"/>
    </row>
    <row r="333" spans="3:23" x14ac:dyDescent="0.2">
      <c r="C333" s="5"/>
      <c r="I333" s="5"/>
      <c r="L333" s="5"/>
      <c r="M333" s="5"/>
      <c r="N333" s="5"/>
      <c r="P333" s="5"/>
      <c r="Q333" s="5"/>
      <c r="R333" s="5"/>
      <c r="S333" s="5"/>
      <c r="U333" s="5"/>
      <c r="W333" s="5"/>
    </row>
    <row r="334" spans="3:23" x14ac:dyDescent="0.2">
      <c r="C334" s="5"/>
      <c r="I334" s="5"/>
      <c r="L334" s="5"/>
      <c r="M334" s="5"/>
      <c r="N334" s="5"/>
      <c r="P334" s="5"/>
      <c r="Q334" s="5"/>
      <c r="R334" s="5"/>
      <c r="S334" s="5"/>
      <c r="U334" s="5"/>
      <c r="W334" s="5"/>
    </row>
    <row r="335" spans="3:23" x14ac:dyDescent="0.2">
      <c r="C335" s="5"/>
      <c r="I335" s="5"/>
      <c r="L335" s="5"/>
      <c r="M335" s="5"/>
      <c r="N335" s="5"/>
      <c r="P335" s="5"/>
      <c r="Q335" s="5"/>
      <c r="R335" s="5"/>
      <c r="S335" s="5"/>
      <c r="U335" s="5"/>
      <c r="W335" s="5"/>
    </row>
    <row r="336" spans="3:23" x14ac:dyDescent="0.2">
      <c r="C336" s="5"/>
      <c r="I336" s="5"/>
      <c r="L336" s="5"/>
      <c r="M336" s="5"/>
      <c r="N336" s="5"/>
      <c r="P336" s="5"/>
      <c r="Q336" s="5"/>
      <c r="R336" s="5"/>
      <c r="S336" s="5"/>
      <c r="U336" s="5"/>
      <c r="W336" s="5"/>
    </row>
    <row r="337" spans="3:23" x14ac:dyDescent="0.2">
      <c r="C337" s="5"/>
      <c r="I337" s="5"/>
      <c r="L337" s="5"/>
      <c r="M337" s="5"/>
      <c r="N337" s="5"/>
      <c r="P337" s="5"/>
      <c r="Q337" s="5"/>
      <c r="R337" s="5"/>
      <c r="S337" s="5"/>
      <c r="U337" s="5"/>
      <c r="W337" s="5"/>
    </row>
    <row r="338" spans="3:23" x14ac:dyDescent="0.2">
      <c r="C338" s="5"/>
      <c r="I338" s="5"/>
      <c r="L338" s="5"/>
      <c r="M338" s="5"/>
      <c r="N338" s="5"/>
      <c r="P338" s="5"/>
      <c r="Q338" s="5"/>
      <c r="R338" s="5"/>
      <c r="S338" s="5"/>
      <c r="U338" s="5"/>
      <c r="W338" s="5"/>
    </row>
    <row r="339" spans="3:23" x14ac:dyDescent="0.2">
      <c r="C339" s="5"/>
      <c r="I339" s="5"/>
      <c r="L339" s="5"/>
      <c r="M339" s="5"/>
      <c r="N339" s="5"/>
      <c r="P339" s="5"/>
      <c r="Q339" s="5"/>
      <c r="R339" s="5"/>
      <c r="S339" s="5"/>
      <c r="U339" s="5"/>
      <c r="W339" s="5"/>
    </row>
    <row r="340" spans="3:23" x14ac:dyDescent="0.2">
      <c r="C340" s="5"/>
      <c r="I340" s="5"/>
      <c r="L340" s="5"/>
      <c r="M340" s="5"/>
      <c r="N340" s="5"/>
      <c r="P340" s="5"/>
      <c r="Q340" s="5"/>
      <c r="R340" s="5"/>
      <c r="S340" s="5"/>
      <c r="U340" s="5"/>
      <c r="W340" s="5"/>
    </row>
    <row r="341" spans="3:23" x14ac:dyDescent="0.2">
      <c r="C341" s="5"/>
      <c r="I341" s="5"/>
      <c r="L341" s="5"/>
      <c r="M341" s="5"/>
      <c r="N341" s="5"/>
      <c r="P341" s="5"/>
      <c r="Q341" s="5"/>
      <c r="R341" s="5"/>
      <c r="S341" s="5"/>
      <c r="U341" s="5"/>
      <c r="W341" s="5"/>
    </row>
    <row r="342" spans="3:23" x14ac:dyDescent="0.2">
      <c r="C342" s="5"/>
      <c r="I342" s="5"/>
      <c r="L342" s="5"/>
      <c r="M342" s="5"/>
      <c r="N342" s="5"/>
      <c r="P342" s="5"/>
      <c r="Q342" s="5"/>
      <c r="R342" s="5"/>
      <c r="S342" s="5"/>
      <c r="U342" s="5"/>
      <c r="W342" s="5"/>
    </row>
    <row r="343" spans="3:23" x14ac:dyDescent="0.2">
      <c r="C343" s="5"/>
      <c r="I343" s="5"/>
      <c r="L343" s="5"/>
      <c r="M343" s="5"/>
      <c r="N343" s="5"/>
      <c r="P343" s="5"/>
      <c r="Q343" s="5"/>
      <c r="R343" s="5"/>
      <c r="S343" s="5"/>
      <c r="U343" s="5"/>
      <c r="W343" s="5"/>
    </row>
    <row r="344" spans="3:23" x14ac:dyDescent="0.2">
      <c r="C344" s="5"/>
      <c r="I344" s="5"/>
      <c r="L344" s="5"/>
      <c r="M344" s="5"/>
      <c r="N344" s="5"/>
      <c r="P344" s="5"/>
      <c r="Q344" s="5"/>
      <c r="R344" s="5"/>
      <c r="S344" s="5"/>
      <c r="U344" s="5"/>
      <c r="W344" s="5"/>
    </row>
    <row r="345" spans="3:23" x14ac:dyDescent="0.2">
      <c r="C345" s="5"/>
      <c r="I345" s="5"/>
      <c r="L345" s="5"/>
      <c r="M345" s="5"/>
      <c r="N345" s="5"/>
      <c r="P345" s="5"/>
      <c r="Q345" s="5"/>
      <c r="R345" s="5"/>
      <c r="S345" s="5"/>
      <c r="U345" s="5"/>
      <c r="W345" s="5"/>
    </row>
    <row r="346" spans="3:23" x14ac:dyDescent="0.2">
      <c r="C346" s="5"/>
      <c r="I346" s="5"/>
      <c r="L346" s="5"/>
      <c r="M346" s="5"/>
      <c r="N346" s="5"/>
      <c r="P346" s="5"/>
      <c r="Q346" s="5"/>
      <c r="R346" s="5"/>
      <c r="S346" s="5"/>
      <c r="U346" s="5"/>
      <c r="W346" s="5"/>
    </row>
    <row r="347" spans="3:23" x14ac:dyDescent="0.2">
      <c r="C347" s="5"/>
      <c r="I347" s="5"/>
      <c r="L347" s="5"/>
      <c r="M347" s="5"/>
      <c r="N347" s="5"/>
      <c r="P347" s="5"/>
      <c r="Q347" s="5"/>
      <c r="R347" s="5"/>
      <c r="S347" s="5"/>
      <c r="U347" s="5"/>
      <c r="W347" s="5"/>
    </row>
    <row r="348" spans="3:23" x14ac:dyDescent="0.2">
      <c r="C348" s="5"/>
      <c r="I348" s="5"/>
      <c r="L348" s="5"/>
      <c r="M348" s="5"/>
      <c r="N348" s="5"/>
      <c r="P348" s="5"/>
      <c r="Q348" s="5"/>
      <c r="R348" s="5"/>
      <c r="S348" s="5"/>
      <c r="U348" s="5"/>
      <c r="W348" s="5"/>
    </row>
    <row r="349" spans="3:23" x14ac:dyDescent="0.2">
      <c r="C349" s="5"/>
      <c r="I349" s="5"/>
      <c r="L349" s="5"/>
      <c r="M349" s="5"/>
      <c r="N349" s="5"/>
      <c r="P349" s="5"/>
      <c r="Q349" s="5"/>
      <c r="R349" s="5"/>
      <c r="S349" s="5"/>
      <c r="U349" s="5"/>
      <c r="W349" s="5"/>
    </row>
    <row r="350" spans="3:23" x14ac:dyDescent="0.2">
      <c r="C350" s="5"/>
      <c r="I350" s="5"/>
      <c r="L350" s="5"/>
      <c r="M350" s="5"/>
      <c r="N350" s="5"/>
      <c r="P350" s="5"/>
      <c r="Q350" s="5"/>
      <c r="R350" s="5"/>
      <c r="S350" s="5"/>
      <c r="U350" s="5"/>
      <c r="W350" s="5"/>
    </row>
    <row r="351" spans="3:23" x14ac:dyDescent="0.2">
      <c r="C351" s="5"/>
      <c r="I351" s="5"/>
      <c r="L351" s="5"/>
      <c r="M351" s="5"/>
      <c r="N351" s="5"/>
      <c r="P351" s="5"/>
      <c r="Q351" s="5"/>
      <c r="R351" s="5"/>
      <c r="S351" s="5"/>
      <c r="U351" s="5"/>
      <c r="W351" s="5"/>
    </row>
    <row r="352" spans="3:23" x14ac:dyDescent="0.2">
      <c r="C352" s="5"/>
      <c r="I352" s="5"/>
      <c r="L352" s="5"/>
      <c r="M352" s="5"/>
      <c r="N352" s="5"/>
      <c r="P352" s="5"/>
      <c r="Q352" s="5"/>
      <c r="R352" s="5"/>
      <c r="S352" s="5"/>
      <c r="U352" s="5"/>
      <c r="W352" s="5"/>
    </row>
    <row r="353" spans="3:23" x14ac:dyDescent="0.2">
      <c r="C353" s="5"/>
      <c r="I353" s="5"/>
      <c r="L353" s="5"/>
      <c r="M353" s="5"/>
      <c r="N353" s="5"/>
      <c r="P353" s="5"/>
      <c r="Q353" s="5"/>
      <c r="R353" s="5"/>
      <c r="S353" s="5"/>
      <c r="U353" s="5"/>
      <c r="W353" s="5"/>
    </row>
    <row r="354" spans="3:23" x14ac:dyDescent="0.2">
      <c r="C354" s="5"/>
      <c r="I354" s="5"/>
      <c r="L354" s="5"/>
      <c r="M354" s="5"/>
      <c r="N354" s="5"/>
      <c r="P354" s="5"/>
      <c r="Q354" s="5"/>
      <c r="R354" s="5"/>
      <c r="S354" s="5"/>
      <c r="U354" s="5"/>
      <c r="W354" s="5"/>
    </row>
    <row r="355" spans="3:23" x14ac:dyDescent="0.2">
      <c r="C355" s="5"/>
      <c r="I355" s="5"/>
      <c r="L355" s="5"/>
      <c r="M355" s="5"/>
      <c r="N355" s="5"/>
      <c r="P355" s="5"/>
      <c r="Q355" s="5"/>
      <c r="R355" s="5"/>
      <c r="S355" s="5"/>
      <c r="U355" s="5"/>
      <c r="W355" s="5"/>
    </row>
    <row r="356" spans="3:23" x14ac:dyDescent="0.2">
      <c r="C356" s="5"/>
      <c r="I356" s="5"/>
      <c r="L356" s="5"/>
      <c r="M356" s="5"/>
      <c r="N356" s="5"/>
      <c r="P356" s="5"/>
      <c r="Q356" s="5"/>
      <c r="R356" s="5"/>
      <c r="S356" s="5"/>
      <c r="U356" s="5"/>
      <c r="W356" s="5"/>
    </row>
    <row r="357" spans="3:23" x14ac:dyDescent="0.2">
      <c r="C357" s="5"/>
      <c r="I357" s="5"/>
      <c r="L357" s="5"/>
      <c r="M357" s="5"/>
      <c r="N357" s="5"/>
      <c r="P357" s="5"/>
      <c r="Q357" s="5"/>
      <c r="R357" s="5"/>
      <c r="S357" s="5"/>
      <c r="U357" s="5"/>
      <c r="W357" s="5"/>
    </row>
    <row r="358" spans="3:23" x14ac:dyDescent="0.2">
      <c r="C358" s="5"/>
      <c r="I358" s="5"/>
      <c r="L358" s="5"/>
      <c r="M358" s="5"/>
      <c r="N358" s="5"/>
      <c r="P358" s="5"/>
      <c r="Q358" s="5"/>
      <c r="R358" s="5"/>
      <c r="S358" s="5"/>
      <c r="U358" s="5"/>
      <c r="W358" s="5"/>
    </row>
    <row r="359" spans="3:23" x14ac:dyDescent="0.2">
      <c r="C359" s="5"/>
      <c r="I359" s="5"/>
      <c r="L359" s="5"/>
      <c r="M359" s="5"/>
      <c r="N359" s="5"/>
      <c r="P359" s="5"/>
      <c r="Q359" s="5"/>
      <c r="R359" s="5"/>
      <c r="S359" s="5"/>
      <c r="U359" s="5"/>
      <c r="W359" s="5"/>
    </row>
    <row r="360" spans="3:23" x14ac:dyDescent="0.2">
      <c r="C360" s="5"/>
      <c r="I360" s="5"/>
      <c r="L360" s="5"/>
      <c r="M360" s="5"/>
      <c r="N360" s="5"/>
      <c r="P360" s="5"/>
      <c r="Q360" s="5"/>
      <c r="R360" s="5"/>
      <c r="S360" s="5"/>
      <c r="U360" s="5"/>
      <c r="W360" s="5"/>
    </row>
    <row r="361" spans="3:23" x14ac:dyDescent="0.2">
      <c r="C361" s="5"/>
      <c r="I361" s="5"/>
      <c r="L361" s="5"/>
      <c r="M361" s="5"/>
      <c r="N361" s="5"/>
      <c r="P361" s="5"/>
      <c r="Q361" s="5"/>
      <c r="R361" s="5"/>
      <c r="S361" s="5"/>
      <c r="U361" s="5"/>
      <c r="W361" s="5"/>
    </row>
    <row r="362" spans="3:23" x14ac:dyDescent="0.2">
      <c r="C362" s="5"/>
      <c r="I362" s="5"/>
      <c r="L362" s="5"/>
      <c r="M362" s="5"/>
      <c r="N362" s="5"/>
      <c r="P362" s="5"/>
      <c r="Q362" s="5"/>
      <c r="R362" s="5"/>
      <c r="S362" s="5"/>
      <c r="U362" s="5"/>
      <c r="W362" s="5"/>
    </row>
    <row r="363" spans="3:23" x14ac:dyDescent="0.2">
      <c r="C363" s="5"/>
      <c r="I363" s="5"/>
      <c r="L363" s="5"/>
      <c r="M363" s="5"/>
      <c r="N363" s="5"/>
      <c r="P363" s="5"/>
      <c r="Q363" s="5"/>
      <c r="R363" s="5"/>
      <c r="S363" s="5"/>
      <c r="U363" s="5"/>
      <c r="W363" s="5"/>
    </row>
    <row r="364" spans="3:23" x14ac:dyDescent="0.2">
      <c r="C364" s="5"/>
      <c r="I364" s="5"/>
      <c r="L364" s="5"/>
      <c r="M364" s="5"/>
      <c r="N364" s="5"/>
      <c r="P364" s="5"/>
      <c r="Q364" s="5"/>
      <c r="R364" s="5"/>
      <c r="S364" s="5"/>
      <c r="U364" s="5"/>
      <c r="W364" s="5"/>
    </row>
    <row r="365" spans="3:23" x14ac:dyDescent="0.2">
      <c r="C365" s="5"/>
      <c r="I365" s="5"/>
      <c r="L365" s="5"/>
      <c r="M365" s="5"/>
      <c r="N365" s="5"/>
      <c r="P365" s="5"/>
      <c r="Q365" s="5"/>
      <c r="R365" s="5"/>
      <c r="S365" s="5"/>
      <c r="U365" s="5"/>
      <c r="W365" s="5"/>
    </row>
    <row r="366" spans="3:23" x14ac:dyDescent="0.2">
      <c r="C366" s="5"/>
      <c r="I366" s="5"/>
      <c r="L366" s="5"/>
      <c r="M366" s="5"/>
      <c r="N366" s="5"/>
      <c r="P366" s="5"/>
      <c r="Q366" s="5"/>
      <c r="R366" s="5"/>
      <c r="S366" s="5"/>
      <c r="U366" s="5"/>
      <c r="W366" s="5"/>
    </row>
    <row r="367" spans="3:23" x14ac:dyDescent="0.2">
      <c r="C367" s="5"/>
      <c r="I367" s="5"/>
      <c r="L367" s="5"/>
      <c r="M367" s="5"/>
      <c r="N367" s="5"/>
      <c r="P367" s="5"/>
      <c r="Q367" s="5"/>
      <c r="R367" s="5"/>
      <c r="S367" s="5"/>
      <c r="U367" s="5"/>
      <c r="W367" s="5"/>
    </row>
    <row r="368" spans="3:23" x14ac:dyDescent="0.2">
      <c r="C368" s="5"/>
      <c r="I368" s="5"/>
      <c r="L368" s="5"/>
      <c r="M368" s="5"/>
      <c r="N368" s="5"/>
      <c r="P368" s="5"/>
      <c r="Q368" s="5"/>
      <c r="R368" s="5"/>
      <c r="S368" s="5"/>
      <c r="U368" s="5"/>
      <c r="W368" s="5"/>
    </row>
    <row r="369" spans="3:23" x14ac:dyDescent="0.2">
      <c r="C369" s="5"/>
      <c r="I369" s="5"/>
      <c r="L369" s="5"/>
      <c r="M369" s="5"/>
      <c r="N369" s="5"/>
      <c r="P369" s="5"/>
      <c r="Q369" s="5"/>
      <c r="R369" s="5"/>
      <c r="S369" s="5"/>
      <c r="U369" s="5"/>
      <c r="W369" s="5"/>
    </row>
    <row r="370" spans="3:23" x14ac:dyDescent="0.2">
      <c r="C370" s="5"/>
      <c r="I370" s="5"/>
      <c r="L370" s="5"/>
      <c r="M370" s="5"/>
      <c r="N370" s="5"/>
      <c r="P370" s="5"/>
      <c r="Q370" s="5"/>
      <c r="R370" s="5"/>
      <c r="S370" s="5"/>
      <c r="U370" s="5"/>
      <c r="W370" s="5"/>
    </row>
    <row r="371" spans="3:23" x14ac:dyDescent="0.2">
      <c r="C371" s="5"/>
      <c r="I371" s="5"/>
      <c r="L371" s="5"/>
      <c r="M371" s="5"/>
      <c r="N371" s="5"/>
      <c r="P371" s="5"/>
      <c r="Q371" s="5"/>
      <c r="R371" s="5"/>
      <c r="S371" s="5"/>
      <c r="U371" s="5"/>
      <c r="W371" s="5"/>
    </row>
    <row r="372" spans="3:23" x14ac:dyDescent="0.2">
      <c r="C372" s="5"/>
      <c r="I372" s="5"/>
      <c r="L372" s="5"/>
      <c r="M372" s="5"/>
      <c r="N372" s="5"/>
      <c r="P372" s="5"/>
      <c r="Q372" s="5"/>
      <c r="R372" s="5"/>
      <c r="S372" s="5"/>
      <c r="U372" s="5"/>
      <c r="W372" s="5"/>
    </row>
    <row r="373" spans="3:23" x14ac:dyDescent="0.2">
      <c r="C373" s="5"/>
      <c r="I373" s="5"/>
      <c r="L373" s="5"/>
      <c r="M373" s="5"/>
      <c r="N373" s="5"/>
      <c r="P373" s="5"/>
      <c r="Q373" s="5"/>
      <c r="R373" s="5"/>
      <c r="S373" s="5"/>
      <c r="U373" s="5"/>
      <c r="W373" s="5"/>
    </row>
    <row r="374" spans="3:23" x14ac:dyDescent="0.2">
      <c r="C374" s="5"/>
      <c r="I374" s="5"/>
      <c r="L374" s="5"/>
      <c r="M374" s="5"/>
      <c r="N374" s="5"/>
      <c r="P374" s="5"/>
      <c r="Q374" s="5"/>
      <c r="R374" s="5"/>
      <c r="S374" s="5"/>
      <c r="U374" s="5"/>
      <c r="W374" s="5"/>
    </row>
    <row r="375" spans="3:23" x14ac:dyDescent="0.2">
      <c r="C375" s="5"/>
      <c r="I375" s="5"/>
      <c r="L375" s="5"/>
      <c r="M375" s="5"/>
      <c r="N375" s="5"/>
      <c r="P375" s="5"/>
      <c r="Q375" s="5"/>
      <c r="R375" s="5"/>
      <c r="S375" s="5"/>
      <c r="U375" s="5"/>
      <c r="W375" s="5"/>
    </row>
    <row r="376" spans="3:23" x14ac:dyDescent="0.2">
      <c r="C376" s="5"/>
      <c r="I376" s="5"/>
      <c r="L376" s="5"/>
      <c r="M376" s="5"/>
      <c r="N376" s="5"/>
      <c r="P376" s="5"/>
      <c r="Q376" s="5"/>
      <c r="R376" s="5"/>
      <c r="S376" s="5"/>
      <c r="U376" s="5"/>
      <c r="W376" s="5"/>
    </row>
    <row r="377" spans="3:23" x14ac:dyDescent="0.2">
      <c r="C377" s="5"/>
      <c r="I377" s="5"/>
      <c r="L377" s="5"/>
      <c r="M377" s="5"/>
      <c r="N377" s="5"/>
      <c r="P377" s="5"/>
      <c r="Q377" s="5"/>
      <c r="R377" s="5"/>
      <c r="S377" s="5"/>
      <c r="U377" s="5"/>
      <c r="W377" s="5"/>
    </row>
    <row r="378" spans="3:23" x14ac:dyDescent="0.2">
      <c r="C378" s="5"/>
      <c r="I378" s="5"/>
      <c r="L378" s="5"/>
      <c r="M378" s="5"/>
      <c r="N378" s="5"/>
      <c r="P378" s="5"/>
      <c r="Q378" s="5"/>
      <c r="R378" s="5"/>
      <c r="S378" s="5"/>
      <c r="U378" s="5"/>
      <c r="W378" s="5"/>
    </row>
    <row r="379" spans="3:23" x14ac:dyDescent="0.2">
      <c r="C379" s="5"/>
      <c r="I379" s="5"/>
      <c r="L379" s="5"/>
      <c r="M379" s="5"/>
      <c r="N379" s="5"/>
      <c r="P379" s="5"/>
      <c r="Q379" s="5"/>
      <c r="R379" s="5"/>
      <c r="S379" s="5"/>
      <c r="U379" s="5"/>
      <c r="W379" s="5"/>
    </row>
    <row r="380" spans="3:23" x14ac:dyDescent="0.2">
      <c r="C380" s="5"/>
      <c r="I380" s="5"/>
      <c r="L380" s="5"/>
      <c r="M380" s="5"/>
      <c r="N380" s="5"/>
      <c r="P380" s="5"/>
      <c r="Q380" s="5"/>
      <c r="R380" s="5"/>
      <c r="S380" s="5"/>
      <c r="U380" s="5"/>
      <c r="W380" s="5"/>
    </row>
    <row r="381" spans="3:23" x14ac:dyDescent="0.2">
      <c r="C381" s="5"/>
      <c r="I381" s="5"/>
      <c r="L381" s="5"/>
      <c r="M381" s="5"/>
      <c r="N381" s="5"/>
      <c r="P381" s="5"/>
      <c r="Q381" s="5"/>
      <c r="R381" s="5"/>
      <c r="S381" s="5"/>
      <c r="U381" s="5"/>
      <c r="W381" s="5"/>
    </row>
    <row r="382" spans="3:23" x14ac:dyDescent="0.2">
      <c r="C382" s="5"/>
      <c r="I382" s="5"/>
      <c r="L382" s="5"/>
      <c r="M382" s="5"/>
      <c r="N382" s="5"/>
      <c r="P382" s="5"/>
      <c r="Q382" s="5"/>
      <c r="R382" s="5"/>
      <c r="S382" s="5"/>
      <c r="U382" s="5"/>
      <c r="W382" s="5"/>
    </row>
    <row r="383" spans="3:23" x14ac:dyDescent="0.2">
      <c r="C383" s="5"/>
      <c r="I383" s="5"/>
      <c r="L383" s="5"/>
      <c r="M383" s="5"/>
      <c r="N383" s="5"/>
      <c r="P383" s="5"/>
      <c r="Q383" s="5"/>
      <c r="R383" s="5"/>
      <c r="S383" s="5"/>
      <c r="U383" s="5"/>
      <c r="W383" s="5"/>
    </row>
    <row r="384" spans="3:23" x14ac:dyDescent="0.2">
      <c r="C384" s="5"/>
      <c r="I384" s="5"/>
      <c r="L384" s="5"/>
      <c r="M384" s="5"/>
      <c r="N384" s="5"/>
      <c r="P384" s="5"/>
      <c r="Q384" s="5"/>
      <c r="R384" s="5"/>
      <c r="S384" s="5"/>
      <c r="U384" s="5"/>
      <c r="W384" s="5"/>
    </row>
    <row r="385" spans="3:23" x14ac:dyDescent="0.2">
      <c r="C385" s="5"/>
      <c r="I385" s="5"/>
      <c r="L385" s="5"/>
      <c r="M385" s="5"/>
      <c r="N385" s="5"/>
      <c r="P385" s="5"/>
      <c r="Q385" s="5"/>
      <c r="R385" s="5"/>
      <c r="S385" s="5"/>
      <c r="U385" s="5"/>
      <c r="W385" s="5"/>
    </row>
    <row r="386" spans="3:23" x14ac:dyDescent="0.2">
      <c r="C386" s="5"/>
      <c r="I386" s="5"/>
      <c r="L386" s="5"/>
      <c r="M386" s="5"/>
      <c r="N386" s="5"/>
      <c r="P386" s="5"/>
      <c r="Q386" s="5"/>
      <c r="R386" s="5"/>
      <c r="S386" s="5"/>
      <c r="U386" s="5"/>
      <c r="W386" s="5"/>
    </row>
    <row r="387" spans="3:23" x14ac:dyDescent="0.2">
      <c r="C387" s="5"/>
      <c r="I387" s="5"/>
      <c r="L387" s="5"/>
      <c r="M387" s="5"/>
      <c r="N387" s="5"/>
      <c r="P387" s="5"/>
      <c r="Q387" s="5"/>
      <c r="R387" s="5"/>
      <c r="S387" s="5"/>
      <c r="U387" s="5"/>
      <c r="W387" s="5"/>
    </row>
    <row r="388" spans="3:23" x14ac:dyDescent="0.2">
      <c r="C388" s="5"/>
      <c r="I388" s="5"/>
      <c r="L388" s="5"/>
      <c r="M388" s="5"/>
      <c r="N388" s="5"/>
      <c r="P388" s="5"/>
      <c r="Q388" s="5"/>
      <c r="R388" s="5"/>
      <c r="S388" s="5"/>
      <c r="U388" s="5"/>
      <c r="W388" s="5"/>
    </row>
    <row r="389" spans="3:23" x14ac:dyDescent="0.2">
      <c r="C389" s="5"/>
      <c r="I389" s="5"/>
      <c r="L389" s="5"/>
      <c r="M389" s="5"/>
      <c r="N389" s="5"/>
      <c r="P389" s="5"/>
      <c r="Q389" s="5"/>
      <c r="R389" s="5"/>
      <c r="S389" s="5"/>
      <c r="U389" s="5"/>
      <c r="W389" s="5"/>
    </row>
    <row r="390" spans="3:23" x14ac:dyDescent="0.2">
      <c r="C390" s="5"/>
      <c r="I390" s="5"/>
      <c r="L390" s="5"/>
      <c r="M390" s="5"/>
      <c r="N390" s="5"/>
      <c r="P390" s="5"/>
      <c r="Q390" s="5"/>
      <c r="R390" s="5"/>
      <c r="S390" s="5"/>
      <c r="U390" s="5"/>
      <c r="W390" s="5"/>
    </row>
    <row r="391" spans="3:23" x14ac:dyDescent="0.2">
      <c r="C391" s="5"/>
      <c r="I391" s="5"/>
      <c r="L391" s="5"/>
      <c r="M391" s="5"/>
      <c r="N391" s="5"/>
      <c r="P391" s="5"/>
      <c r="Q391" s="5"/>
      <c r="R391" s="5"/>
      <c r="S391" s="5"/>
      <c r="U391" s="5"/>
      <c r="W391" s="5"/>
    </row>
    <row r="392" spans="3:23" x14ac:dyDescent="0.2">
      <c r="C392" s="5"/>
      <c r="I392" s="5"/>
      <c r="L392" s="5"/>
      <c r="M392" s="5"/>
      <c r="N392" s="5"/>
      <c r="P392" s="5"/>
      <c r="Q392" s="5"/>
      <c r="R392" s="5"/>
      <c r="S392" s="5"/>
      <c r="U392" s="5"/>
      <c r="W392" s="5"/>
    </row>
    <row r="393" spans="3:23" x14ac:dyDescent="0.2">
      <c r="C393" s="5"/>
      <c r="I393" s="5"/>
      <c r="L393" s="5"/>
      <c r="M393" s="5"/>
      <c r="N393" s="5"/>
      <c r="P393" s="5"/>
      <c r="Q393" s="5"/>
      <c r="R393" s="5"/>
      <c r="S393" s="5"/>
      <c r="U393" s="5"/>
      <c r="W393" s="5"/>
    </row>
    <row r="394" spans="3:23" x14ac:dyDescent="0.2">
      <c r="C394" s="5"/>
      <c r="I394" s="5"/>
      <c r="L394" s="5"/>
      <c r="M394" s="5"/>
      <c r="N394" s="5"/>
      <c r="P394" s="5"/>
      <c r="Q394" s="5"/>
      <c r="R394" s="5"/>
      <c r="S394" s="5"/>
      <c r="U394" s="5"/>
      <c r="W394" s="5"/>
    </row>
    <row r="395" spans="3:23" x14ac:dyDescent="0.2">
      <c r="C395" s="5"/>
      <c r="I395" s="5"/>
      <c r="L395" s="5"/>
      <c r="M395" s="5"/>
      <c r="N395" s="5"/>
      <c r="P395" s="5"/>
      <c r="Q395" s="5"/>
      <c r="R395" s="5"/>
      <c r="S395" s="5"/>
      <c r="U395" s="5"/>
      <c r="W395" s="5"/>
    </row>
    <row r="396" spans="3:23" x14ac:dyDescent="0.2">
      <c r="C396" s="5"/>
      <c r="I396" s="5"/>
      <c r="L396" s="5"/>
      <c r="M396" s="5"/>
      <c r="N396" s="5"/>
      <c r="P396" s="5"/>
      <c r="Q396" s="5"/>
      <c r="R396" s="5"/>
      <c r="S396" s="5"/>
      <c r="U396" s="5"/>
      <c r="W396" s="5"/>
    </row>
    <row r="397" spans="3:23" x14ac:dyDescent="0.2">
      <c r="C397" s="5"/>
      <c r="I397" s="5"/>
      <c r="L397" s="5"/>
      <c r="M397" s="5"/>
      <c r="N397" s="5"/>
      <c r="P397" s="5"/>
      <c r="Q397" s="5"/>
      <c r="R397" s="5"/>
      <c r="S397" s="5"/>
      <c r="U397" s="5"/>
      <c r="W397" s="5"/>
    </row>
    <row r="398" spans="3:23" x14ac:dyDescent="0.2">
      <c r="C398" s="5"/>
      <c r="I398" s="5"/>
      <c r="L398" s="5"/>
      <c r="M398" s="5"/>
      <c r="N398" s="5"/>
      <c r="P398" s="5"/>
      <c r="Q398" s="5"/>
      <c r="R398" s="5"/>
      <c r="S398" s="5"/>
      <c r="U398" s="5"/>
      <c r="W398" s="5"/>
    </row>
    <row r="399" spans="3:23" x14ac:dyDescent="0.2">
      <c r="C399" s="5"/>
      <c r="I399" s="5"/>
      <c r="L399" s="5"/>
      <c r="M399" s="5"/>
      <c r="N399" s="5"/>
      <c r="P399" s="5"/>
      <c r="Q399" s="5"/>
      <c r="R399" s="5"/>
      <c r="S399" s="5"/>
      <c r="U399" s="5"/>
      <c r="W399" s="5"/>
    </row>
    <row r="400" spans="3:23" x14ac:dyDescent="0.2">
      <c r="C400" s="5"/>
      <c r="I400" s="5"/>
      <c r="L400" s="5"/>
      <c r="M400" s="5"/>
      <c r="N400" s="5"/>
      <c r="P400" s="5"/>
      <c r="Q400" s="5"/>
      <c r="R400" s="5"/>
      <c r="S400" s="5"/>
      <c r="U400" s="5"/>
      <c r="W400" s="5"/>
    </row>
    <row r="401" spans="3:23" x14ac:dyDescent="0.2">
      <c r="C401" s="5"/>
      <c r="I401" s="5"/>
      <c r="L401" s="5"/>
      <c r="M401" s="5"/>
      <c r="N401" s="5"/>
      <c r="P401" s="5"/>
      <c r="Q401" s="5"/>
      <c r="R401" s="5"/>
      <c r="S401" s="5"/>
      <c r="U401" s="5"/>
      <c r="W401" s="5"/>
    </row>
    <row r="402" spans="3:23" x14ac:dyDescent="0.2">
      <c r="C402" s="5"/>
      <c r="I402" s="5"/>
      <c r="L402" s="5"/>
      <c r="M402" s="5"/>
      <c r="N402" s="5"/>
      <c r="P402" s="5"/>
      <c r="Q402" s="5"/>
      <c r="R402" s="5"/>
      <c r="S402" s="5"/>
      <c r="U402" s="5"/>
      <c r="W402" s="5"/>
    </row>
    <row r="403" spans="3:23" x14ac:dyDescent="0.2">
      <c r="C403" s="5"/>
      <c r="I403" s="5"/>
      <c r="L403" s="5"/>
      <c r="M403" s="5"/>
      <c r="N403" s="5"/>
      <c r="P403" s="5"/>
      <c r="Q403" s="5"/>
      <c r="R403" s="5"/>
      <c r="S403" s="5"/>
      <c r="U403" s="5"/>
      <c r="W403" s="5"/>
    </row>
    <row r="404" spans="3:23" x14ac:dyDescent="0.2">
      <c r="C404" s="5"/>
      <c r="I404" s="5"/>
      <c r="L404" s="5"/>
      <c r="M404" s="5"/>
      <c r="N404" s="5"/>
      <c r="P404" s="5"/>
      <c r="Q404" s="5"/>
      <c r="R404" s="5"/>
      <c r="S404" s="5"/>
      <c r="U404" s="5"/>
      <c r="W404" s="5"/>
    </row>
    <row r="405" spans="3:23" x14ac:dyDescent="0.2">
      <c r="C405" s="5"/>
      <c r="I405" s="5"/>
      <c r="L405" s="5"/>
      <c r="M405" s="5"/>
      <c r="N405" s="5"/>
      <c r="P405" s="5"/>
      <c r="Q405" s="5"/>
      <c r="R405" s="5"/>
      <c r="S405" s="5"/>
      <c r="U405" s="5"/>
      <c r="W405" s="5"/>
    </row>
    <row r="406" spans="3:23" x14ac:dyDescent="0.2">
      <c r="C406" s="5"/>
      <c r="I406" s="5"/>
      <c r="L406" s="5"/>
      <c r="M406" s="5"/>
      <c r="N406" s="5"/>
      <c r="P406" s="5"/>
      <c r="Q406" s="5"/>
      <c r="R406" s="5"/>
      <c r="S406" s="5"/>
      <c r="U406" s="5"/>
      <c r="W406" s="5"/>
    </row>
    <row r="407" spans="3:23" x14ac:dyDescent="0.2">
      <c r="C407" s="5"/>
      <c r="I407" s="5"/>
      <c r="L407" s="5"/>
      <c r="M407" s="5"/>
      <c r="N407" s="5"/>
      <c r="P407" s="5"/>
      <c r="Q407" s="5"/>
      <c r="R407" s="5"/>
      <c r="S407" s="5"/>
      <c r="U407" s="5"/>
      <c r="W407" s="5"/>
    </row>
    <row r="408" spans="3:23" x14ac:dyDescent="0.2">
      <c r="C408" s="5"/>
      <c r="I408" s="5"/>
      <c r="L408" s="5"/>
      <c r="M408" s="5"/>
      <c r="N408" s="5"/>
      <c r="P408" s="5"/>
      <c r="Q408" s="5"/>
      <c r="R408" s="5"/>
      <c r="S408" s="5"/>
      <c r="U408" s="5"/>
      <c r="W408" s="5"/>
    </row>
    <row r="409" spans="3:23" x14ac:dyDescent="0.2">
      <c r="C409" s="5"/>
      <c r="I409" s="5"/>
      <c r="L409" s="5"/>
      <c r="M409" s="5"/>
      <c r="N409" s="5"/>
      <c r="P409" s="5"/>
      <c r="Q409" s="5"/>
      <c r="R409" s="5"/>
      <c r="S409" s="5"/>
      <c r="U409" s="5"/>
      <c r="W409" s="5"/>
    </row>
    <row r="410" spans="3:23" x14ac:dyDescent="0.2">
      <c r="C410" s="5"/>
      <c r="I410" s="5"/>
      <c r="L410" s="5"/>
      <c r="M410" s="5"/>
      <c r="N410" s="5"/>
      <c r="P410" s="5"/>
      <c r="Q410" s="5"/>
      <c r="R410" s="5"/>
      <c r="S410" s="5"/>
      <c r="U410" s="5"/>
      <c r="W410" s="5"/>
    </row>
    <row r="411" spans="3:23" x14ac:dyDescent="0.2">
      <c r="C411" s="5"/>
      <c r="I411" s="5"/>
      <c r="L411" s="5"/>
      <c r="M411" s="5"/>
      <c r="N411" s="5"/>
      <c r="P411" s="5"/>
      <c r="Q411" s="5"/>
      <c r="R411" s="5"/>
      <c r="S411" s="5"/>
      <c r="U411" s="5"/>
      <c r="W411" s="5"/>
    </row>
    <row r="412" spans="3:23" x14ac:dyDescent="0.2">
      <c r="C412" s="5"/>
      <c r="I412" s="5"/>
      <c r="L412" s="5"/>
      <c r="M412" s="5"/>
      <c r="N412" s="5"/>
      <c r="P412" s="5"/>
      <c r="Q412" s="5"/>
      <c r="R412" s="5"/>
      <c r="S412" s="5"/>
      <c r="U412" s="5"/>
      <c r="W412" s="5"/>
    </row>
    <row r="413" spans="3:23" x14ac:dyDescent="0.2">
      <c r="C413" s="5"/>
      <c r="I413" s="5"/>
      <c r="L413" s="5"/>
      <c r="M413" s="5"/>
      <c r="N413" s="5"/>
      <c r="P413" s="5"/>
      <c r="Q413" s="5"/>
      <c r="R413" s="5"/>
      <c r="S413" s="5"/>
      <c r="U413" s="5"/>
      <c r="W413" s="5"/>
    </row>
    <row r="414" spans="3:23" x14ac:dyDescent="0.2">
      <c r="C414" s="5"/>
      <c r="I414" s="5"/>
      <c r="L414" s="5"/>
      <c r="M414" s="5"/>
      <c r="N414" s="5"/>
      <c r="P414" s="5"/>
      <c r="Q414" s="5"/>
      <c r="R414" s="5"/>
      <c r="S414" s="5"/>
      <c r="U414" s="5"/>
      <c r="W414" s="5"/>
    </row>
    <row r="415" spans="3:23" x14ac:dyDescent="0.2">
      <c r="C415" s="5"/>
      <c r="I415" s="5"/>
      <c r="L415" s="5"/>
      <c r="M415" s="5"/>
      <c r="N415" s="5"/>
      <c r="P415" s="5"/>
      <c r="Q415" s="5"/>
      <c r="R415" s="5"/>
      <c r="S415" s="5"/>
      <c r="U415" s="5"/>
      <c r="W415" s="5"/>
    </row>
    <row r="416" spans="3:23" x14ac:dyDescent="0.2">
      <c r="C416" s="5"/>
      <c r="I416" s="5"/>
      <c r="L416" s="5"/>
      <c r="M416" s="5"/>
      <c r="N416" s="5"/>
      <c r="P416" s="5"/>
      <c r="Q416" s="5"/>
      <c r="R416" s="5"/>
      <c r="S416" s="5"/>
      <c r="U416" s="5"/>
      <c r="W416" s="5"/>
    </row>
    <row r="417" spans="3:23" x14ac:dyDescent="0.2">
      <c r="C417" s="5"/>
      <c r="I417" s="5"/>
      <c r="L417" s="5"/>
      <c r="M417" s="5"/>
      <c r="N417" s="5"/>
      <c r="P417" s="5"/>
      <c r="Q417" s="5"/>
      <c r="R417" s="5"/>
      <c r="S417" s="5"/>
      <c r="U417" s="5"/>
      <c r="W417" s="5"/>
    </row>
    <row r="418" spans="3:23" x14ac:dyDescent="0.2">
      <c r="C418" s="5"/>
      <c r="I418" s="5"/>
      <c r="L418" s="5"/>
      <c r="M418" s="5"/>
      <c r="N418" s="5"/>
      <c r="P418" s="5"/>
      <c r="Q418" s="5"/>
      <c r="R418" s="5"/>
      <c r="S418" s="5"/>
      <c r="U418" s="5"/>
      <c r="W418" s="5"/>
    </row>
    <row r="419" spans="3:23" x14ac:dyDescent="0.2">
      <c r="C419" s="5"/>
      <c r="I419" s="5"/>
      <c r="L419" s="5"/>
      <c r="M419" s="5"/>
      <c r="N419" s="5"/>
      <c r="P419" s="5"/>
      <c r="Q419" s="5"/>
      <c r="R419" s="5"/>
      <c r="S419" s="5"/>
      <c r="U419" s="5"/>
      <c r="W419" s="5"/>
    </row>
    <row r="420" spans="3:23" x14ac:dyDescent="0.2">
      <c r="C420" s="5"/>
      <c r="I420" s="5"/>
      <c r="L420" s="5"/>
      <c r="M420" s="5"/>
      <c r="N420" s="5"/>
      <c r="P420" s="5"/>
      <c r="Q420" s="5"/>
      <c r="R420" s="5"/>
      <c r="S420" s="5"/>
      <c r="U420" s="5"/>
      <c r="W420" s="5"/>
    </row>
    <row r="421" spans="3:23" x14ac:dyDescent="0.2">
      <c r="C421" s="5"/>
      <c r="I421" s="5"/>
      <c r="L421" s="5"/>
      <c r="M421" s="5"/>
      <c r="N421" s="5"/>
      <c r="P421" s="5"/>
      <c r="Q421" s="5"/>
      <c r="R421" s="5"/>
      <c r="S421" s="5"/>
      <c r="U421" s="5"/>
      <c r="W421" s="5"/>
    </row>
    <row r="422" spans="3:23" x14ac:dyDescent="0.2">
      <c r="C422" s="5"/>
      <c r="I422" s="5"/>
      <c r="L422" s="5"/>
      <c r="M422" s="5"/>
      <c r="N422" s="5"/>
      <c r="P422" s="5"/>
      <c r="Q422" s="5"/>
      <c r="R422" s="5"/>
      <c r="S422" s="5"/>
      <c r="U422" s="5"/>
      <c r="W422" s="5"/>
    </row>
    <row r="423" spans="3:23" x14ac:dyDescent="0.2">
      <c r="C423" s="5"/>
      <c r="I423" s="5"/>
      <c r="L423" s="5"/>
      <c r="M423" s="5"/>
      <c r="N423" s="5"/>
      <c r="P423" s="5"/>
      <c r="Q423" s="5"/>
      <c r="R423" s="5"/>
      <c r="S423" s="5"/>
      <c r="U423" s="5"/>
      <c r="W423" s="5"/>
    </row>
    <row r="424" spans="3:23" x14ac:dyDescent="0.2">
      <c r="C424" s="5"/>
      <c r="I424" s="5"/>
      <c r="L424" s="5"/>
      <c r="M424" s="5"/>
      <c r="N424" s="5"/>
      <c r="P424" s="5"/>
      <c r="Q424" s="5"/>
      <c r="R424" s="5"/>
      <c r="S424" s="5"/>
      <c r="U424" s="5"/>
      <c r="W424" s="5"/>
    </row>
    <row r="425" spans="3:23" x14ac:dyDescent="0.2">
      <c r="C425" s="5"/>
      <c r="I425" s="5"/>
      <c r="L425" s="5"/>
      <c r="M425" s="5"/>
      <c r="N425" s="5"/>
      <c r="P425" s="5"/>
      <c r="Q425" s="5"/>
      <c r="R425" s="5"/>
      <c r="S425" s="5"/>
      <c r="U425" s="5"/>
      <c r="W425" s="5"/>
    </row>
    <row r="426" spans="3:23" x14ac:dyDescent="0.2">
      <c r="C426" s="5"/>
      <c r="I426" s="5"/>
      <c r="L426" s="5"/>
      <c r="M426" s="5"/>
      <c r="N426" s="5"/>
      <c r="P426" s="5"/>
      <c r="Q426" s="5"/>
      <c r="R426" s="5"/>
      <c r="S426" s="5"/>
      <c r="U426" s="5"/>
      <c r="W426" s="5"/>
    </row>
    <row r="427" spans="3:23" x14ac:dyDescent="0.2">
      <c r="C427" s="5"/>
      <c r="I427" s="5"/>
      <c r="L427" s="5"/>
      <c r="M427" s="5"/>
      <c r="N427" s="5"/>
      <c r="P427" s="5"/>
      <c r="Q427" s="5"/>
      <c r="R427" s="5"/>
      <c r="S427" s="5"/>
      <c r="U427" s="5"/>
      <c r="W427" s="5"/>
    </row>
    <row r="428" spans="3:23" x14ac:dyDescent="0.2">
      <c r="C428" s="5"/>
      <c r="I428" s="5"/>
      <c r="L428" s="5"/>
      <c r="M428" s="5"/>
      <c r="N428" s="5"/>
      <c r="P428" s="5"/>
      <c r="Q428" s="5"/>
      <c r="R428" s="5"/>
      <c r="S428" s="5"/>
      <c r="U428" s="5"/>
      <c r="W428" s="5"/>
    </row>
    <row r="429" spans="3:23" x14ac:dyDescent="0.2">
      <c r="C429" s="5"/>
      <c r="I429" s="5"/>
      <c r="L429" s="5"/>
      <c r="M429" s="5"/>
      <c r="N429" s="5"/>
      <c r="P429" s="5"/>
      <c r="Q429" s="5"/>
      <c r="R429" s="5"/>
      <c r="S429" s="5"/>
      <c r="U429" s="5"/>
      <c r="W429" s="5"/>
    </row>
    <row r="430" spans="3:23" x14ac:dyDescent="0.2">
      <c r="C430" s="5"/>
      <c r="I430" s="5"/>
      <c r="L430" s="5"/>
      <c r="M430" s="5"/>
      <c r="N430" s="5"/>
      <c r="P430" s="5"/>
      <c r="Q430" s="5"/>
      <c r="R430" s="5"/>
      <c r="S430" s="5"/>
      <c r="U430" s="5"/>
      <c r="W430" s="5"/>
    </row>
    <row r="431" spans="3:23" x14ac:dyDescent="0.2">
      <c r="C431" s="5"/>
      <c r="I431" s="5"/>
      <c r="L431" s="5"/>
      <c r="M431" s="5"/>
      <c r="N431" s="5"/>
      <c r="P431" s="5"/>
      <c r="Q431" s="5"/>
      <c r="R431" s="5"/>
      <c r="S431" s="5"/>
      <c r="U431" s="5"/>
      <c r="W431" s="5"/>
    </row>
    <row r="432" spans="3:23" x14ac:dyDescent="0.2">
      <c r="C432" s="5"/>
      <c r="I432" s="5"/>
      <c r="L432" s="5"/>
      <c r="M432" s="5"/>
      <c r="N432" s="5"/>
      <c r="P432" s="5"/>
      <c r="Q432" s="5"/>
      <c r="R432" s="5"/>
      <c r="S432" s="5"/>
      <c r="U432" s="5"/>
      <c r="W432" s="5"/>
    </row>
    <row r="433" spans="3:23" x14ac:dyDescent="0.2">
      <c r="C433" s="5"/>
      <c r="I433" s="5"/>
      <c r="L433" s="5"/>
      <c r="M433" s="5"/>
      <c r="N433" s="5"/>
      <c r="P433" s="5"/>
      <c r="Q433" s="5"/>
      <c r="R433" s="5"/>
      <c r="S433" s="5"/>
      <c r="U433" s="5"/>
      <c r="W433" s="5"/>
    </row>
    <row r="434" spans="3:23" x14ac:dyDescent="0.2">
      <c r="C434" s="5"/>
      <c r="I434" s="5"/>
      <c r="L434" s="5"/>
      <c r="M434" s="5"/>
      <c r="N434" s="5"/>
      <c r="P434" s="5"/>
      <c r="Q434" s="5"/>
      <c r="R434" s="5"/>
      <c r="S434" s="5"/>
      <c r="U434" s="5"/>
      <c r="W434" s="5"/>
    </row>
    <row r="435" spans="3:23" x14ac:dyDescent="0.2">
      <c r="C435" s="5"/>
      <c r="I435" s="5"/>
      <c r="L435" s="5"/>
      <c r="M435" s="5"/>
      <c r="N435" s="5"/>
      <c r="P435" s="5"/>
      <c r="Q435" s="5"/>
      <c r="R435" s="5"/>
      <c r="S435" s="5"/>
      <c r="U435" s="5"/>
      <c r="W435" s="5"/>
    </row>
    <row r="436" spans="3:23" x14ac:dyDescent="0.2">
      <c r="C436" s="5"/>
      <c r="I436" s="5"/>
      <c r="L436" s="5"/>
      <c r="M436" s="5"/>
      <c r="N436" s="5"/>
      <c r="P436" s="5"/>
      <c r="Q436" s="5"/>
      <c r="R436" s="5"/>
      <c r="S436" s="5"/>
      <c r="U436" s="5"/>
      <c r="W436" s="5"/>
    </row>
    <row r="437" spans="3:23" x14ac:dyDescent="0.2">
      <c r="C437" s="5"/>
      <c r="I437" s="5"/>
      <c r="L437" s="5"/>
      <c r="M437" s="5"/>
      <c r="N437" s="5"/>
      <c r="P437" s="5"/>
      <c r="Q437" s="5"/>
      <c r="R437" s="5"/>
      <c r="S437" s="5"/>
      <c r="U437" s="5"/>
      <c r="W437" s="5"/>
    </row>
    <row r="438" spans="3:23" x14ac:dyDescent="0.2">
      <c r="C438" s="5"/>
      <c r="I438" s="5"/>
      <c r="L438" s="5"/>
      <c r="M438" s="5"/>
      <c r="N438" s="5"/>
      <c r="P438" s="5"/>
      <c r="Q438" s="5"/>
      <c r="R438" s="5"/>
      <c r="S438" s="5"/>
      <c r="U438" s="5"/>
      <c r="W438" s="5"/>
    </row>
    <row r="439" spans="3:23" x14ac:dyDescent="0.2">
      <c r="C439" s="5"/>
      <c r="I439" s="5"/>
      <c r="L439" s="5"/>
      <c r="M439" s="5"/>
      <c r="N439" s="5"/>
      <c r="P439" s="5"/>
      <c r="Q439" s="5"/>
      <c r="R439" s="5"/>
      <c r="S439" s="5"/>
      <c r="U439" s="5"/>
      <c r="W439" s="5"/>
    </row>
    <row r="440" spans="3:23" x14ac:dyDescent="0.2">
      <c r="C440" s="5"/>
      <c r="I440" s="5"/>
      <c r="L440" s="5"/>
      <c r="M440" s="5"/>
      <c r="N440" s="5"/>
      <c r="P440" s="5"/>
      <c r="Q440" s="5"/>
      <c r="R440" s="5"/>
      <c r="S440" s="5"/>
      <c r="U440" s="5"/>
      <c r="W440" s="5"/>
    </row>
    <row r="441" spans="3:23" x14ac:dyDescent="0.2">
      <c r="C441" s="5"/>
      <c r="I441" s="5"/>
      <c r="L441" s="5"/>
      <c r="M441" s="5"/>
      <c r="N441" s="5"/>
      <c r="P441" s="5"/>
      <c r="Q441" s="5"/>
      <c r="R441" s="5"/>
      <c r="S441" s="5"/>
      <c r="U441" s="5"/>
      <c r="W441" s="5"/>
    </row>
    <row r="442" spans="3:23" x14ac:dyDescent="0.2">
      <c r="C442" s="5"/>
      <c r="I442" s="5"/>
      <c r="L442" s="5"/>
      <c r="M442" s="5"/>
      <c r="N442" s="5"/>
      <c r="P442" s="5"/>
      <c r="Q442" s="5"/>
      <c r="R442" s="5"/>
      <c r="S442" s="5"/>
      <c r="U442" s="5"/>
      <c r="W442" s="5"/>
    </row>
    <row r="443" spans="3:23" x14ac:dyDescent="0.2">
      <c r="C443" s="5"/>
      <c r="I443" s="5"/>
      <c r="L443" s="5"/>
      <c r="M443" s="5"/>
      <c r="N443" s="5"/>
      <c r="P443" s="5"/>
      <c r="Q443" s="5"/>
      <c r="R443" s="5"/>
      <c r="S443" s="5"/>
      <c r="U443" s="5"/>
      <c r="W443" s="5"/>
    </row>
    <row r="444" spans="3:23" x14ac:dyDescent="0.2">
      <c r="C444" s="5"/>
      <c r="I444" s="5"/>
      <c r="L444" s="5"/>
      <c r="M444" s="5"/>
      <c r="N444" s="5"/>
      <c r="P444" s="5"/>
      <c r="Q444" s="5"/>
      <c r="R444" s="5"/>
      <c r="S444" s="5"/>
      <c r="U444" s="5"/>
      <c r="W444" s="5"/>
    </row>
    <row r="445" spans="3:23" x14ac:dyDescent="0.2">
      <c r="C445" s="5"/>
      <c r="I445" s="5"/>
      <c r="L445" s="5"/>
      <c r="M445" s="5"/>
      <c r="N445" s="5"/>
      <c r="P445" s="5"/>
      <c r="Q445" s="5"/>
      <c r="R445" s="5"/>
      <c r="S445" s="5"/>
      <c r="U445" s="5"/>
      <c r="W445" s="5"/>
    </row>
    <row r="446" spans="3:23" x14ac:dyDescent="0.2">
      <c r="C446" s="5"/>
      <c r="I446" s="5"/>
      <c r="L446" s="5"/>
      <c r="M446" s="5"/>
      <c r="N446" s="5"/>
      <c r="P446" s="5"/>
      <c r="Q446" s="5"/>
      <c r="R446" s="5"/>
      <c r="S446" s="5"/>
      <c r="U446" s="5"/>
      <c r="W446" s="5"/>
    </row>
    <row r="447" spans="3:23" x14ac:dyDescent="0.2">
      <c r="C447" s="5"/>
      <c r="I447" s="5"/>
      <c r="L447" s="5"/>
      <c r="M447" s="5"/>
      <c r="N447" s="5"/>
      <c r="P447" s="5"/>
      <c r="Q447" s="5"/>
      <c r="R447" s="5"/>
      <c r="S447" s="5"/>
      <c r="U447" s="5"/>
      <c r="W447" s="5"/>
    </row>
    <row r="448" spans="3:23" x14ac:dyDescent="0.2">
      <c r="C448" s="5"/>
      <c r="I448" s="5"/>
      <c r="L448" s="5"/>
      <c r="M448" s="5"/>
      <c r="N448" s="5"/>
      <c r="P448" s="5"/>
      <c r="Q448" s="5"/>
      <c r="R448" s="5"/>
      <c r="S448" s="5"/>
      <c r="U448" s="5"/>
      <c r="W448" s="5"/>
    </row>
    <row r="449" spans="3:23" x14ac:dyDescent="0.2">
      <c r="C449" s="5"/>
      <c r="I449" s="5"/>
      <c r="L449" s="5"/>
      <c r="M449" s="5"/>
      <c r="N449" s="5"/>
      <c r="P449" s="5"/>
      <c r="Q449" s="5"/>
      <c r="R449" s="5"/>
      <c r="S449" s="5"/>
      <c r="U449" s="5"/>
      <c r="W449" s="5"/>
    </row>
    <row r="450" spans="3:23" x14ac:dyDescent="0.2">
      <c r="C450" s="5"/>
      <c r="I450" s="5"/>
      <c r="L450" s="5"/>
      <c r="M450" s="5"/>
      <c r="N450" s="5"/>
      <c r="P450" s="5"/>
      <c r="Q450" s="5"/>
      <c r="R450" s="5"/>
      <c r="S450" s="5"/>
      <c r="U450" s="5"/>
      <c r="W450" s="5"/>
    </row>
    <row r="451" spans="3:23" x14ac:dyDescent="0.2">
      <c r="C451" s="5"/>
      <c r="I451" s="5"/>
      <c r="L451" s="5"/>
      <c r="M451" s="5"/>
      <c r="N451" s="5"/>
      <c r="P451" s="5"/>
      <c r="Q451" s="5"/>
      <c r="R451" s="5"/>
      <c r="S451" s="5"/>
      <c r="U451" s="5"/>
      <c r="W451" s="5"/>
    </row>
    <row r="452" spans="3:23" x14ac:dyDescent="0.2">
      <c r="C452" s="5"/>
      <c r="I452" s="5"/>
      <c r="L452" s="5"/>
      <c r="M452" s="5"/>
      <c r="N452" s="5"/>
      <c r="P452" s="5"/>
      <c r="Q452" s="5"/>
      <c r="R452" s="5"/>
      <c r="S452" s="5"/>
      <c r="U452" s="5"/>
      <c r="W452" s="5"/>
    </row>
    <row r="453" spans="3:23" x14ac:dyDescent="0.2">
      <c r="C453" s="5"/>
      <c r="I453" s="5"/>
      <c r="L453" s="5"/>
      <c r="M453" s="5"/>
      <c r="N453" s="5"/>
      <c r="P453" s="5"/>
      <c r="Q453" s="5"/>
      <c r="R453" s="5"/>
      <c r="S453" s="5"/>
      <c r="U453" s="5"/>
      <c r="W453" s="5"/>
    </row>
    <row r="454" spans="3:23" x14ac:dyDescent="0.2">
      <c r="C454" s="5"/>
      <c r="I454" s="5"/>
      <c r="L454" s="5"/>
      <c r="M454" s="5"/>
      <c r="N454" s="5"/>
      <c r="P454" s="5"/>
      <c r="Q454" s="5"/>
      <c r="R454" s="5"/>
      <c r="S454" s="5"/>
      <c r="U454" s="5"/>
      <c r="W454" s="5"/>
    </row>
    <row r="455" spans="3:23" x14ac:dyDescent="0.2">
      <c r="C455" s="5"/>
      <c r="I455" s="5"/>
      <c r="L455" s="5"/>
      <c r="M455" s="5"/>
      <c r="N455" s="5"/>
      <c r="P455" s="5"/>
      <c r="Q455" s="5"/>
      <c r="R455" s="5"/>
      <c r="S455" s="5"/>
      <c r="U455" s="5"/>
      <c r="W455" s="5"/>
    </row>
    <row r="456" spans="3:23" x14ac:dyDescent="0.2">
      <c r="C456" s="5"/>
      <c r="I456" s="5"/>
      <c r="L456" s="5"/>
      <c r="M456" s="5"/>
      <c r="N456" s="5"/>
      <c r="P456" s="5"/>
      <c r="Q456" s="5"/>
      <c r="R456" s="5"/>
      <c r="S456" s="5"/>
      <c r="U456" s="5"/>
      <c r="W456" s="5"/>
    </row>
    <row r="457" spans="3:23" x14ac:dyDescent="0.2">
      <c r="C457" s="5"/>
      <c r="I457" s="5"/>
      <c r="L457" s="5"/>
      <c r="M457" s="5"/>
      <c r="N457" s="5"/>
      <c r="P457" s="5"/>
      <c r="Q457" s="5"/>
      <c r="R457" s="5"/>
      <c r="S457" s="5"/>
      <c r="U457" s="5"/>
      <c r="W457" s="5"/>
    </row>
    <row r="458" spans="3:23" x14ac:dyDescent="0.2">
      <c r="C458" s="5"/>
      <c r="I458" s="5"/>
      <c r="L458" s="5"/>
      <c r="M458" s="5"/>
      <c r="N458" s="5"/>
      <c r="P458" s="5"/>
      <c r="Q458" s="5"/>
      <c r="R458" s="5"/>
      <c r="S458" s="5"/>
      <c r="U458" s="5"/>
      <c r="W458" s="5"/>
    </row>
    <row r="459" spans="3:23" x14ac:dyDescent="0.2">
      <c r="C459" s="5"/>
      <c r="I459" s="5"/>
      <c r="L459" s="5"/>
      <c r="M459" s="5"/>
      <c r="N459" s="5"/>
      <c r="P459" s="5"/>
      <c r="Q459" s="5"/>
      <c r="R459" s="5"/>
      <c r="S459" s="5"/>
      <c r="U459" s="5"/>
      <c r="W459" s="5"/>
    </row>
    <row r="460" spans="3:23" x14ac:dyDescent="0.2">
      <c r="C460" s="5"/>
      <c r="I460" s="5"/>
      <c r="L460" s="5"/>
      <c r="M460" s="5"/>
      <c r="N460" s="5"/>
      <c r="P460" s="5"/>
      <c r="Q460" s="5"/>
      <c r="R460" s="5"/>
      <c r="S460" s="5"/>
      <c r="U460" s="5"/>
      <c r="W460" s="5"/>
    </row>
    <row r="461" spans="3:23" x14ac:dyDescent="0.2">
      <c r="C461" s="5"/>
      <c r="I461" s="5"/>
      <c r="L461" s="5"/>
      <c r="M461" s="5"/>
      <c r="N461" s="5"/>
      <c r="P461" s="5"/>
      <c r="Q461" s="5"/>
      <c r="R461" s="5"/>
      <c r="S461" s="5"/>
      <c r="U461" s="5"/>
      <c r="W461" s="5"/>
    </row>
    <row r="462" spans="3:23" x14ac:dyDescent="0.2">
      <c r="C462" s="5"/>
      <c r="I462" s="5"/>
      <c r="L462" s="5"/>
      <c r="M462" s="5"/>
      <c r="N462" s="5"/>
      <c r="P462" s="5"/>
      <c r="Q462" s="5"/>
      <c r="R462" s="5"/>
      <c r="S462" s="5"/>
      <c r="U462" s="5"/>
      <c r="W462" s="5"/>
    </row>
    <row r="463" spans="3:23" x14ac:dyDescent="0.2">
      <c r="C463" s="5"/>
      <c r="I463" s="5"/>
      <c r="L463" s="5"/>
      <c r="M463" s="5"/>
      <c r="N463" s="5"/>
      <c r="P463" s="5"/>
      <c r="Q463" s="5"/>
      <c r="R463" s="5"/>
      <c r="S463" s="5"/>
      <c r="U463" s="5"/>
      <c r="W463" s="5"/>
    </row>
    <row r="464" spans="3:23" x14ac:dyDescent="0.2">
      <c r="C464" s="5"/>
      <c r="I464" s="5"/>
      <c r="L464" s="5"/>
      <c r="M464" s="5"/>
      <c r="N464" s="5"/>
      <c r="P464" s="5"/>
      <c r="Q464" s="5"/>
      <c r="R464" s="5"/>
      <c r="S464" s="5"/>
      <c r="U464" s="5"/>
      <c r="W464" s="5"/>
    </row>
    <row r="465" spans="3:23" x14ac:dyDescent="0.2">
      <c r="C465" s="5"/>
      <c r="I465" s="5"/>
      <c r="L465" s="5"/>
      <c r="M465" s="5"/>
      <c r="N465" s="5"/>
      <c r="P465" s="5"/>
      <c r="Q465" s="5"/>
      <c r="R465" s="5"/>
      <c r="S465" s="5"/>
      <c r="U465" s="5"/>
      <c r="W465" s="5"/>
    </row>
    <row r="466" spans="3:23" x14ac:dyDescent="0.2">
      <c r="C466" s="5"/>
      <c r="I466" s="5"/>
      <c r="L466" s="5"/>
      <c r="M466" s="5"/>
      <c r="N466" s="5"/>
      <c r="P466" s="5"/>
      <c r="Q466" s="5"/>
      <c r="R466" s="5"/>
      <c r="S466" s="5"/>
      <c r="U466" s="5"/>
      <c r="W466" s="5"/>
    </row>
    <row r="467" spans="3:23" x14ac:dyDescent="0.2">
      <c r="C467" s="5"/>
      <c r="I467" s="5"/>
      <c r="L467" s="5"/>
      <c r="M467" s="5"/>
      <c r="N467" s="5"/>
      <c r="P467" s="5"/>
      <c r="Q467" s="5"/>
      <c r="R467" s="5"/>
      <c r="S467" s="5"/>
      <c r="U467" s="5"/>
      <c r="W467" s="5"/>
    </row>
    <row r="468" spans="3:23" x14ac:dyDescent="0.2">
      <c r="C468" s="5"/>
      <c r="I468" s="5"/>
      <c r="L468" s="5"/>
      <c r="M468" s="5"/>
      <c r="N468" s="5"/>
      <c r="P468" s="5"/>
      <c r="Q468" s="5"/>
      <c r="R468" s="5"/>
      <c r="S468" s="5"/>
      <c r="U468" s="5"/>
      <c r="W468" s="5"/>
    </row>
    <row r="469" spans="3:23" x14ac:dyDescent="0.2">
      <c r="C469" s="5"/>
      <c r="I469" s="5"/>
      <c r="L469" s="5"/>
      <c r="M469" s="5"/>
      <c r="N469" s="5"/>
      <c r="P469" s="5"/>
      <c r="Q469" s="5"/>
      <c r="R469" s="5"/>
      <c r="S469" s="5"/>
      <c r="U469" s="5"/>
      <c r="W469" s="5"/>
    </row>
    <row r="470" spans="3:23" x14ac:dyDescent="0.2">
      <c r="C470" s="5"/>
      <c r="I470" s="5"/>
      <c r="L470" s="5"/>
      <c r="M470" s="5"/>
      <c r="N470" s="5"/>
      <c r="P470" s="5"/>
      <c r="Q470" s="5"/>
      <c r="R470" s="5"/>
      <c r="S470" s="5"/>
      <c r="U470" s="5"/>
      <c r="W470" s="5"/>
    </row>
    <row r="471" spans="3:23" x14ac:dyDescent="0.2">
      <c r="C471" s="5"/>
      <c r="I471" s="5"/>
      <c r="L471" s="5"/>
      <c r="M471" s="5"/>
      <c r="N471" s="5"/>
      <c r="P471" s="5"/>
      <c r="Q471" s="5"/>
      <c r="R471" s="5"/>
      <c r="S471" s="5"/>
      <c r="U471" s="5"/>
      <c r="W471" s="5"/>
    </row>
    <row r="472" spans="3:23" x14ac:dyDescent="0.2">
      <c r="C472" s="5"/>
      <c r="I472" s="5"/>
      <c r="L472" s="5"/>
      <c r="M472" s="5"/>
      <c r="N472" s="5"/>
      <c r="P472" s="5"/>
      <c r="Q472" s="5"/>
      <c r="R472" s="5"/>
      <c r="S472" s="5"/>
      <c r="U472" s="5"/>
      <c r="W472" s="5"/>
    </row>
    <row r="473" spans="3:23" x14ac:dyDescent="0.2">
      <c r="C473" s="5"/>
      <c r="I473" s="5"/>
      <c r="L473" s="5"/>
      <c r="M473" s="5"/>
      <c r="N473" s="5"/>
      <c r="P473" s="5"/>
      <c r="Q473" s="5"/>
      <c r="R473" s="5"/>
      <c r="S473" s="5"/>
      <c r="U473" s="5"/>
      <c r="W473" s="5"/>
    </row>
    <row r="474" spans="3:23" x14ac:dyDescent="0.2">
      <c r="C474" s="5"/>
      <c r="I474" s="5"/>
      <c r="L474" s="5"/>
      <c r="M474" s="5"/>
      <c r="N474" s="5"/>
      <c r="P474" s="5"/>
      <c r="Q474" s="5"/>
      <c r="R474" s="5"/>
      <c r="S474" s="5"/>
      <c r="U474" s="5"/>
      <c r="W474" s="5"/>
    </row>
    <row r="475" spans="3:23" x14ac:dyDescent="0.2">
      <c r="C475" s="5"/>
      <c r="I475" s="5"/>
      <c r="L475" s="5"/>
      <c r="M475" s="5"/>
      <c r="N475" s="5"/>
      <c r="P475" s="5"/>
      <c r="Q475" s="5"/>
      <c r="R475" s="5"/>
      <c r="S475" s="5"/>
      <c r="U475" s="5"/>
      <c r="W475" s="5"/>
    </row>
    <row r="476" spans="3:23" x14ac:dyDescent="0.2">
      <c r="C476" s="5"/>
      <c r="I476" s="5"/>
      <c r="L476" s="5"/>
      <c r="M476" s="5"/>
      <c r="N476" s="5"/>
      <c r="P476" s="5"/>
      <c r="Q476" s="5"/>
      <c r="R476" s="5"/>
      <c r="S476" s="5"/>
      <c r="U476" s="5"/>
      <c r="W476" s="5"/>
    </row>
    <row r="477" spans="3:23" x14ac:dyDescent="0.2">
      <c r="C477" s="5"/>
      <c r="I477" s="5"/>
      <c r="L477" s="5"/>
      <c r="M477" s="5"/>
      <c r="N477" s="5"/>
      <c r="P477" s="5"/>
      <c r="Q477" s="5"/>
      <c r="R477" s="5"/>
      <c r="S477" s="5"/>
      <c r="U477" s="5"/>
      <c r="W477" s="5"/>
    </row>
    <row r="478" spans="3:23" x14ac:dyDescent="0.2">
      <c r="C478" s="5"/>
      <c r="I478" s="5"/>
      <c r="L478" s="5"/>
      <c r="M478" s="5"/>
      <c r="N478" s="5"/>
      <c r="P478" s="5"/>
      <c r="Q478" s="5"/>
      <c r="R478" s="5"/>
      <c r="S478" s="5"/>
      <c r="U478" s="5"/>
      <c r="W478" s="5"/>
    </row>
    <row r="479" spans="3:23" x14ac:dyDescent="0.2">
      <c r="C479" s="5"/>
      <c r="I479" s="5"/>
      <c r="L479" s="5"/>
      <c r="M479" s="5"/>
      <c r="N479" s="5"/>
      <c r="P479" s="5"/>
      <c r="Q479" s="5"/>
      <c r="R479" s="5"/>
      <c r="S479" s="5"/>
      <c r="U479" s="5"/>
      <c r="W479" s="5"/>
    </row>
    <row r="480" spans="3:23" x14ac:dyDescent="0.2">
      <c r="C480" s="5"/>
      <c r="I480" s="5"/>
      <c r="L480" s="5"/>
      <c r="M480" s="5"/>
      <c r="N480" s="5"/>
      <c r="P480" s="5"/>
      <c r="Q480" s="5"/>
      <c r="R480" s="5"/>
      <c r="S480" s="5"/>
      <c r="U480" s="5"/>
      <c r="W480" s="5"/>
    </row>
    <row r="481" spans="3:23" x14ac:dyDescent="0.2">
      <c r="C481" s="5"/>
      <c r="I481" s="5"/>
      <c r="L481" s="5"/>
      <c r="M481" s="5"/>
      <c r="N481" s="5"/>
      <c r="P481" s="5"/>
      <c r="Q481" s="5"/>
      <c r="R481" s="5"/>
      <c r="S481" s="5"/>
      <c r="U481" s="5"/>
      <c r="W481" s="5"/>
    </row>
    <row r="482" spans="3:23" x14ac:dyDescent="0.2">
      <c r="C482" s="5"/>
      <c r="I482" s="5"/>
      <c r="L482" s="5"/>
      <c r="M482" s="5"/>
      <c r="N482" s="5"/>
      <c r="P482" s="5"/>
      <c r="Q482" s="5"/>
      <c r="R482" s="5"/>
      <c r="S482" s="5"/>
      <c r="U482" s="5"/>
      <c r="W482" s="5"/>
    </row>
    <row r="483" spans="3:23" x14ac:dyDescent="0.2">
      <c r="C483" s="5"/>
      <c r="I483" s="5"/>
      <c r="L483" s="5"/>
      <c r="M483" s="5"/>
      <c r="N483" s="5"/>
      <c r="P483" s="5"/>
      <c r="Q483" s="5"/>
      <c r="R483" s="5"/>
      <c r="S483" s="5"/>
      <c r="U483" s="5"/>
      <c r="W483" s="5"/>
    </row>
    <row r="484" spans="3:23" x14ac:dyDescent="0.2">
      <c r="C484" s="5"/>
      <c r="I484" s="5"/>
      <c r="L484" s="5"/>
      <c r="M484" s="5"/>
      <c r="N484" s="5"/>
      <c r="P484" s="5"/>
      <c r="Q484" s="5"/>
      <c r="R484" s="5"/>
      <c r="S484" s="5"/>
      <c r="U484" s="5"/>
      <c r="W484" s="5"/>
    </row>
    <row r="485" spans="3:23" x14ac:dyDescent="0.2">
      <c r="C485" s="5"/>
      <c r="I485" s="5"/>
      <c r="L485" s="5"/>
      <c r="M485" s="5"/>
      <c r="N485" s="5"/>
      <c r="P485" s="5"/>
      <c r="Q485" s="5"/>
      <c r="R485" s="5"/>
      <c r="S485" s="5"/>
      <c r="U485" s="5"/>
      <c r="W485" s="5"/>
    </row>
    <row r="486" spans="3:23" x14ac:dyDescent="0.2">
      <c r="C486" s="5"/>
      <c r="I486" s="5"/>
      <c r="L486" s="5"/>
      <c r="M486" s="5"/>
      <c r="N486" s="5"/>
      <c r="P486" s="5"/>
      <c r="Q486" s="5"/>
      <c r="R486" s="5"/>
      <c r="S486" s="5"/>
      <c r="U486" s="5"/>
      <c r="W486" s="5"/>
    </row>
    <row r="487" spans="3:23" x14ac:dyDescent="0.2">
      <c r="C487" s="5"/>
      <c r="I487" s="5"/>
      <c r="L487" s="5"/>
      <c r="M487" s="5"/>
      <c r="N487" s="5"/>
      <c r="P487" s="5"/>
      <c r="Q487" s="5"/>
      <c r="R487" s="5"/>
      <c r="S487" s="5"/>
      <c r="U487" s="5"/>
      <c r="W487" s="5"/>
    </row>
    <row r="488" spans="3:23" x14ac:dyDescent="0.2">
      <c r="C488" s="5"/>
      <c r="I488" s="5"/>
      <c r="L488" s="5"/>
      <c r="M488" s="5"/>
      <c r="N488" s="5"/>
      <c r="P488" s="5"/>
      <c r="Q488" s="5"/>
      <c r="R488" s="5"/>
      <c r="S488" s="5"/>
      <c r="U488" s="5"/>
      <c r="W488" s="5"/>
    </row>
    <row r="489" spans="3:23" x14ac:dyDescent="0.2">
      <c r="C489" s="5"/>
      <c r="I489" s="5"/>
      <c r="L489" s="5"/>
      <c r="M489" s="5"/>
      <c r="N489" s="5"/>
      <c r="P489" s="5"/>
      <c r="Q489" s="5"/>
      <c r="R489" s="5"/>
      <c r="S489" s="5"/>
      <c r="U489" s="5"/>
      <c r="W489" s="5"/>
    </row>
    <row r="490" spans="3:23" x14ac:dyDescent="0.2">
      <c r="C490" s="5"/>
      <c r="I490" s="5"/>
      <c r="L490" s="5"/>
      <c r="M490" s="5"/>
      <c r="N490" s="5"/>
      <c r="P490" s="5"/>
      <c r="Q490" s="5"/>
      <c r="R490" s="5"/>
      <c r="S490" s="5"/>
      <c r="U490" s="5"/>
      <c r="W490" s="5"/>
    </row>
    <row r="491" spans="3:23" x14ac:dyDescent="0.2">
      <c r="C491" s="5"/>
      <c r="I491" s="5"/>
      <c r="L491" s="5"/>
      <c r="M491" s="5"/>
      <c r="N491" s="5"/>
      <c r="P491" s="5"/>
      <c r="Q491" s="5"/>
      <c r="R491" s="5"/>
      <c r="S491" s="5"/>
      <c r="U491" s="5"/>
      <c r="W491" s="5"/>
    </row>
    <row r="492" spans="3:23" x14ac:dyDescent="0.2">
      <c r="C492" s="5"/>
      <c r="I492" s="5"/>
      <c r="L492" s="5"/>
      <c r="M492" s="5"/>
      <c r="N492" s="5"/>
      <c r="P492" s="5"/>
      <c r="Q492" s="5"/>
      <c r="R492" s="5"/>
      <c r="S492" s="5"/>
      <c r="U492" s="5"/>
      <c r="W492" s="5"/>
    </row>
    <row r="493" spans="3:23" x14ac:dyDescent="0.2">
      <c r="C493" s="5"/>
      <c r="I493" s="5"/>
      <c r="L493" s="5"/>
      <c r="M493" s="5"/>
      <c r="N493" s="5"/>
      <c r="P493" s="5"/>
      <c r="Q493" s="5"/>
      <c r="R493" s="5"/>
      <c r="S493" s="5"/>
      <c r="U493" s="5"/>
      <c r="W493" s="5"/>
    </row>
    <row r="494" spans="3:23" x14ac:dyDescent="0.2">
      <c r="C494" s="5"/>
      <c r="I494" s="5"/>
      <c r="L494" s="5"/>
      <c r="M494" s="5"/>
      <c r="N494" s="5"/>
      <c r="P494" s="5"/>
      <c r="Q494" s="5"/>
      <c r="R494" s="5"/>
      <c r="S494" s="5"/>
      <c r="U494" s="5"/>
      <c r="W494" s="5"/>
    </row>
    <row r="495" spans="3:23" x14ac:dyDescent="0.2">
      <c r="C495" s="5"/>
      <c r="I495" s="5"/>
      <c r="L495" s="5"/>
      <c r="M495" s="5"/>
      <c r="N495" s="5"/>
      <c r="P495" s="5"/>
      <c r="Q495" s="5"/>
      <c r="R495" s="5"/>
      <c r="S495" s="5"/>
      <c r="U495" s="5"/>
      <c r="W495" s="5"/>
    </row>
    <row r="496" spans="3:23" x14ac:dyDescent="0.2">
      <c r="C496" s="5"/>
      <c r="I496" s="5"/>
      <c r="L496" s="5"/>
      <c r="M496" s="5"/>
      <c r="N496" s="5"/>
      <c r="P496" s="5"/>
      <c r="Q496" s="5"/>
      <c r="R496" s="5"/>
      <c r="S496" s="5"/>
      <c r="U496" s="5"/>
      <c r="W496" s="5"/>
    </row>
    <row r="497" spans="3:23" x14ac:dyDescent="0.2">
      <c r="C497" s="5"/>
      <c r="I497" s="5"/>
      <c r="L497" s="5"/>
      <c r="M497" s="5"/>
      <c r="N497" s="5"/>
      <c r="P497" s="5"/>
      <c r="Q497" s="5"/>
      <c r="R497" s="5"/>
      <c r="S497" s="5"/>
      <c r="U497" s="5"/>
      <c r="W497" s="5"/>
    </row>
    <row r="498" spans="3:23" x14ac:dyDescent="0.2">
      <c r="C498" s="5"/>
      <c r="I498" s="5"/>
      <c r="L498" s="5"/>
      <c r="M498" s="5"/>
      <c r="N498" s="5"/>
      <c r="P498" s="5"/>
      <c r="Q498" s="5"/>
      <c r="R498" s="5"/>
      <c r="S498" s="5"/>
      <c r="U498" s="5"/>
      <c r="W498" s="5"/>
    </row>
    <row r="499" spans="3:23" x14ac:dyDescent="0.2">
      <c r="C499" s="5"/>
      <c r="I499" s="5"/>
      <c r="L499" s="5"/>
      <c r="M499" s="5"/>
      <c r="N499" s="5"/>
      <c r="P499" s="5"/>
      <c r="Q499" s="5"/>
      <c r="R499" s="5"/>
      <c r="S499" s="5"/>
      <c r="U499" s="5"/>
      <c r="W499" s="5"/>
    </row>
    <row r="500" spans="3:23" x14ac:dyDescent="0.2">
      <c r="C500" s="5"/>
      <c r="I500" s="5"/>
      <c r="L500" s="5"/>
      <c r="M500" s="5"/>
      <c r="N500" s="5"/>
      <c r="P500" s="5"/>
      <c r="Q500" s="5"/>
      <c r="R500" s="5"/>
      <c r="S500" s="5"/>
      <c r="U500" s="5"/>
      <c r="W500" s="5"/>
    </row>
    <row r="501" spans="3:23" x14ac:dyDescent="0.2">
      <c r="C501" s="5"/>
      <c r="I501" s="5"/>
      <c r="L501" s="5"/>
      <c r="M501" s="5"/>
      <c r="N501" s="5"/>
      <c r="P501" s="5"/>
      <c r="Q501" s="5"/>
      <c r="R501" s="5"/>
      <c r="S501" s="5"/>
      <c r="U501" s="5"/>
      <c r="W501" s="5"/>
    </row>
    <row r="502" spans="3:23" x14ac:dyDescent="0.2">
      <c r="C502" s="5"/>
      <c r="I502" s="5"/>
      <c r="L502" s="5"/>
      <c r="M502" s="5"/>
      <c r="N502" s="5"/>
      <c r="P502" s="5"/>
      <c r="Q502" s="5"/>
      <c r="R502" s="5"/>
      <c r="S502" s="5"/>
      <c r="U502" s="5"/>
      <c r="W502" s="5"/>
    </row>
    <row r="503" spans="3:23" x14ac:dyDescent="0.2">
      <c r="C503" s="5"/>
      <c r="I503" s="5"/>
      <c r="L503" s="5"/>
      <c r="M503" s="5"/>
      <c r="N503" s="5"/>
      <c r="P503" s="5"/>
      <c r="Q503" s="5"/>
      <c r="R503" s="5"/>
      <c r="S503" s="5"/>
      <c r="U503" s="5"/>
      <c r="W503" s="5"/>
    </row>
    <row r="504" spans="3:23" x14ac:dyDescent="0.2">
      <c r="C504" s="5"/>
      <c r="I504" s="5"/>
      <c r="L504" s="5"/>
      <c r="M504" s="5"/>
      <c r="N504" s="5"/>
      <c r="P504" s="5"/>
      <c r="Q504" s="5"/>
      <c r="R504" s="5"/>
      <c r="S504" s="5"/>
      <c r="U504" s="5"/>
      <c r="W504" s="5"/>
    </row>
    <row r="505" spans="3:23" x14ac:dyDescent="0.2">
      <c r="C505" s="5"/>
      <c r="I505" s="5"/>
      <c r="L505" s="5"/>
      <c r="M505" s="5"/>
      <c r="N505" s="5"/>
      <c r="P505" s="5"/>
      <c r="Q505" s="5"/>
      <c r="R505" s="5"/>
      <c r="S505" s="5"/>
      <c r="U505" s="5"/>
      <c r="W505" s="5"/>
    </row>
    <row r="506" spans="3:23" x14ac:dyDescent="0.2">
      <c r="C506" s="5"/>
      <c r="I506" s="5"/>
      <c r="L506" s="5"/>
      <c r="M506" s="5"/>
      <c r="N506" s="5"/>
      <c r="P506" s="5"/>
      <c r="Q506" s="5"/>
      <c r="R506" s="5"/>
      <c r="S506" s="5"/>
      <c r="U506" s="5"/>
      <c r="W506" s="5"/>
    </row>
    <row r="507" spans="3:23" x14ac:dyDescent="0.2">
      <c r="C507" s="5"/>
      <c r="I507" s="5"/>
      <c r="L507" s="5"/>
      <c r="M507" s="5"/>
      <c r="N507" s="5"/>
      <c r="P507" s="5"/>
      <c r="Q507" s="5"/>
      <c r="R507" s="5"/>
      <c r="S507" s="5"/>
      <c r="U507" s="5"/>
      <c r="W507" s="5"/>
    </row>
    <row r="508" spans="3:23" x14ac:dyDescent="0.2">
      <c r="C508" s="5"/>
      <c r="I508" s="5"/>
      <c r="L508" s="5"/>
      <c r="M508" s="5"/>
      <c r="N508" s="5"/>
      <c r="P508" s="5"/>
      <c r="Q508" s="5"/>
      <c r="R508" s="5"/>
      <c r="S508" s="5"/>
      <c r="U508" s="5"/>
      <c r="W508" s="5"/>
    </row>
    <row r="509" spans="3:23" x14ac:dyDescent="0.2">
      <c r="C509" s="5"/>
      <c r="I509" s="5"/>
      <c r="L509" s="5"/>
      <c r="M509" s="5"/>
      <c r="N509" s="5"/>
      <c r="P509" s="5"/>
      <c r="Q509" s="5"/>
      <c r="R509" s="5"/>
      <c r="S509" s="5"/>
      <c r="U509" s="5"/>
      <c r="W509" s="5"/>
    </row>
    <row r="510" spans="3:23" x14ac:dyDescent="0.2">
      <c r="C510" s="5"/>
      <c r="I510" s="5"/>
      <c r="L510" s="5"/>
      <c r="M510" s="5"/>
      <c r="N510" s="5"/>
      <c r="P510" s="5"/>
      <c r="Q510" s="5"/>
      <c r="R510" s="5"/>
      <c r="S510" s="5"/>
      <c r="U510" s="5"/>
      <c r="W510" s="5"/>
    </row>
    <row r="511" spans="3:23" x14ac:dyDescent="0.2">
      <c r="C511" s="5"/>
      <c r="I511" s="5"/>
      <c r="L511" s="5"/>
      <c r="M511" s="5"/>
      <c r="N511" s="5"/>
      <c r="P511" s="5"/>
      <c r="Q511" s="5"/>
      <c r="R511" s="5"/>
      <c r="S511" s="5"/>
      <c r="U511" s="5"/>
      <c r="W511" s="5"/>
    </row>
    <row r="512" spans="3:23" x14ac:dyDescent="0.2">
      <c r="C512" s="5"/>
      <c r="I512" s="5"/>
      <c r="L512" s="5"/>
      <c r="M512" s="5"/>
      <c r="N512" s="5"/>
      <c r="P512" s="5"/>
      <c r="Q512" s="5"/>
      <c r="R512" s="5"/>
      <c r="S512" s="5"/>
      <c r="U512" s="5"/>
      <c r="W512" s="5"/>
    </row>
    <row r="513" spans="3:23" x14ac:dyDescent="0.2">
      <c r="C513" s="5"/>
      <c r="I513" s="5"/>
      <c r="L513" s="5"/>
      <c r="M513" s="5"/>
      <c r="N513" s="5"/>
      <c r="P513" s="5"/>
      <c r="Q513" s="5"/>
      <c r="R513" s="5"/>
      <c r="S513" s="5"/>
      <c r="U513" s="5"/>
      <c r="W513" s="5"/>
    </row>
    <row r="514" spans="3:23" x14ac:dyDescent="0.2">
      <c r="C514" s="5"/>
      <c r="I514" s="5"/>
      <c r="L514" s="5"/>
      <c r="M514" s="5"/>
      <c r="N514" s="5"/>
      <c r="P514" s="5"/>
      <c r="Q514" s="5"/>
      <c r="R514" s="5"/>
      <c r="S514" s="5"/>
      <c r="U514" s="5"/>
      <c r="W514" s="5"/>
    </row>
    <row r="515" spans="3:23" x14ac:dyDescent="0.2">
      <c r="C515" s="5"/>
      <c r="I515" s="5"/>
      <c r="L515" s="5"/>
      <c r="M515" s="5"/>
      <c r="N515" s="5"/>
      <c r="P515" s="5"/>
      <c r="Q515" s="5"/>
      <c r="R515" s="5"/>
      <c r="S515" s="5"/>
      <c r="U515" s="5"/>
      <c r="W515" s="5"/>
    </row>
    <row r="516" spans="3:23" x14ac:dyDescent="0.2">
      <c r="C516" s="5"/>
      <c r="I516" s="5"/>
      <c r="L516" s="5"/>
      <c r="M516" s="5"/>
      <c r="N516" s="5"/>
      <c r="P516" s="5"/>
      <c r="Q516" s="5"/>
      <c r="R516" s="5"/>
      <c r="S516" s="5"/>
      <c r="U516" s="5"/>
      <c r="W516" s="5"/>
    </row>
    <row r="517" spans="3:23" x14ac:dyDescent="0.2">
      <c r="C517" s="5"/>
      <c r="I517" s="5"/>
      <c r="L517" s="5"/>
      <c r="M517" s="5"/>
      <c r="N517" s="5"/>
      <c r="P517" s="5"/>
      <c r="Q517" s="5"/>
      <c r="R517" s="5"/>
      <c r="S517" s="5"/>
      <c r="U517" s="5"/>
      <c r="W517" s="5"/>
    </row>
    <row r="518" spans="3:23" x14ac:dyDescent="0.2">
      <c r="C518" s="5"/>
      <c r="I518" s="5"/>
      <c r="L518" s="5"/>
      <c r="M518" s="5"/>
      <c r="N518" s="5"/>
      <c r="P518" s="5"/>
      <c r="Q518" s="5"/>
      <c r="R518" s="5"/>
      <c r="S518" s="5"/>
      <c r="U518" s="5"/>
      <c r="W518" s="5"/>
    </row>
    <row r="519" spans="3:23" x14ac:dyDescent="0.2">
      <c r="C519" s="5"/>
      <c r="I519" s="5"/>
      <c r="L519" s="5"/>
      <c r="M519" s="5"/>
      <c r="N519" s="5"/>
      <c r="P519" s="5"/>
      <c r="Q519" s="5"/>
      <c r="R519" s="5"/>
      <c r="S519" s="5"/>
      <c r="U519" s="5"/>
      <c r="W519" s="5"/>
    </row>
    <row r="520" spans="3:23" x14ac:dyDescent="0.2">
      <c r="C520" s="5"/>
      <c r="I520" s="5"/>
      <c r="L520" s="5"/>
      <c r="M520" s="5"/>
      <c r="N520" s="5"/>
      <c r="P520" s="5"/>
      <c r="Q520" s="5"/>
      <c r="R520" s="5"/>
      <c r="S520" s="5"/>
      <c r="U520" s="5"/>
      <c r="W520" s="5"/>
    </row>
    <row r="521" spans="3:23" x14ac:dyDescent="0.2">
      <c r="C521" s="5"/>
      <c r="I521" s="5"/>
      <c r="L521" s="5"/>
      <c r="M521" s="5"/>
      <c r="N521" s="5"/>
      <c r="P521" s="5"/>
      <c r="Q521" s="5"/>
      <c r="R521" s="5"/>
      <c r="S521" s="5"/>
      <c r="U521" s="5"/>
      <c r="W521" s="5"/>
    </row>
    <row r="522" spans="3:23" x14ac:dyDescent="0.2">
      <c r="C522" s="5"/>
      <c r="I522" s="5"/>
      <c r="L522" s="5"/>
      <c r="M522" s="5"/>
      <c r="N522" s="5"/>
      <c r="P522" s="5"/>
      <c r="Q522" s="5"/>
      <c r="R522" s="5"/>
      <c r="S522" s="5"/>
      <c r="U522" s="5"/>
      <c r="W522" s="5"/>
    </row>
    <row r="523" spans="3:23" x14ac:dyDescent="0.2">
      <c r="C523" s="5"/>
      <c r="I523" s="5"/>
      <c r="L523" s="5"/>
      <c r="M523" s="5"/>
      <c r="N523" s="5"/>
      <c r="P523" s="5"/>
      <c r="Q523" s="5"/>
      <c r="R523" s="5"/>
      <c r="S523" s="5"/>
      <c r="U523" s="5"/>
      <c r="W523" s="5"/>
    </row>
    <row r="524" spans="3:23" x14ac:dyDescent="0.2">
      <c r="C524" s="5"/>
      <c r="I524" s="5"/>
      <c r="L524" s="5"/>
      <c r="M524" s="5"/>
      <c r="N524" s="5"/>
      <c r="P524" s="5"/>
      <c r="Q524" s="5"/>
      <c r="R524" s="5"/>
      <c r="S524" s="5"/>
      <c r="U524" s="5"/>
      <c r="W524" s="5"/>
    </row>
    <row r="525" spans="3:23" x14ac:dyDescent="0.2">
      <c r="C525" s="5"/>
      <c r="I525" s="5"/>
      <c r="L525" s="5"/>
      <c r="M525" s="5"/>
      <c r="N525" s="5"/>
      <c r="P525" s="5"/>
      <c r="Q525" s="5"/>
      <c r="R525" s="5"/>
      <c r="S525" s="5"/>
      <c r="U525" s="5"/>
      <c r="W525" s="5"/>
    </row>
    <row r="526" spans="3:23" x14ac:dyDescent="0.2">
      <c r="C526" s="5"/>
      <c r="I526" s="5"/>
      <c r="L526" s="5"/>
      <c r="M526" s="5"/>
      <c r="N526" s="5"/>
      <c r="P526" s="5"/>
      <c r="Q526" s="5"/>
      <c r="R526" s="5"/>
      <c r="S526" s="5"/>
      <c r="U526" s="5"/>
      <c r="W526" s="5"/>
    </row>
    <row r="527" spans="3:23" x14ac:dyDescent="0.2">
      <c r="C527" s="5"/>
      <c r="I527" s="5"/>
      <c r="L527" s="5"/>
      <c r="M527" s="5"/>
      <c r="N527" s="5"/>
      <c r="P527" s="5"/>
      <c r="Q527" s="5"/>
      <c r="R527" s="5"/>
      <c r="S527" s="5"/>
      <c r="U527" s="5"/>
      <c r="W527" s="5"/>
    </row>
    <row r="528" spans="3:23" x14ac:dyDescent="0.2">
      <c r="C528" s="5"/>
      <c r="I528" s="5"/>
      <c r="L528" s="5"/>
      <c r="M528" s="5"/>
      <c r="N528" s="5"/>
      <c r="P528" s="5"/>
      <c r="Q528" s="5"/>
      <c r="R528" s="5"/>
      <c r="S528" s="5"/>
      <c r="U528" s="5"/>
      <c r="W528" s="5"/>
    </row>
    <row r="529" spans="3:23" x14ac:dyDescent="0.2">
      <c r="C529" s="5"/>
      <c r="I529" s="5"/>
      <c r="L529" s="5"/>
      <c r="M529" s="5"/>
      <c r="N529" s="5"/>
      <c r="P529" s="5"/>
      <c r="Q529" s="5"/>
      <c r="R529" s="5"/>
      <c r="S529" s="5"/>
      <c r="U529" s="5"/>
      <c r="W529" s="5"/>
    </row>
    <row r="530" spans="3:23" x14ac:dyDescent="0.2">
      <c r="C530" s="5"/>
      <c r="I530" s="5"/>
      <c r="L530" s="5"/>
      <c r="M530" s="5"/>
      <c r="N530" s="5"/>
      <c r="P530" s="5"/>
      <c r="Q530" s="5"/>
      <c r="R530" s="5"/>
      <c r="S530" s="5"/>
      <c r="U530" s="5"/>
      <c r="W530" s="5"/>
    </row>
    <row r="531" spans="3:23" x14ac:dyDescent="0.2">
      <c r="C531" s="5"/>
      <c r="I531" s="5"/>
      <c r="L531" s="5"/>
      <c r="M531" s="5"/>
      <c r="N531" s="5"/>
      <c r="P531" s="5"/>
      <c r="Q531" s="5"/>
      <c r="R531" s="5"/>
      <c r="S531" s="5"/>
      <c r="U531" s="5"/>
      <c r="W531" s="5"/>
    </row>
    <row r="532" spans="3:23" x14ac:dyDescent="0.2">
      <c r="C532" s="5"/>
      <c r="I532" s="5"/>
      <c r="L532" s="5"/>
      <c r="M532" s="5"/>
      <c r="N532" s="5"/>
      <c r="P532" s="5"/>
      <c r="Q532" s="5"/>
      <c r="R532" s="5"/>
      <c r="S532" s="5"/>
      <c r="U532" s="5"/>
      <c r="W532" s="5"/>
    </row>
    <row r="533" spans="3:23" x14ac:dyDescent="0.2">
      <c r="C533" s="5"/>
      <c r="I533" s="5"/>
      <c r="L533" s="5"/>
      <c r="M533" s="5"/>
      <c r="N533" s="5"/>
      <c r="P533" s="5"/>
      <c r="Q533" s="5"/>
      <c r="R533" s="5"/>
      <c r="S533" s="5"/>
      <c r="U533" s="5"/>
      <c r="W533" s="5"/>
    </row>
    <row r="534" spans="3:23" x14ac:dyDescent="0.2">
      <c r="C534" s="5"/>
      <c r="I534" s="5"/>
      <c r="L534" s="5"/>
      <c r="M534" s="5"/>
      <c r="N534" s="5"/>
      <c r="P534" s="5"/>
      <c r="Q534" s="5"/>
      <c r="R534" s="5"/>
      <c r="S534" s="5"/>
      <c r="U534" s="5"/>
      <c r="W534" s="5"/>
    </row>
    <row r="535" spans="3:23" x14ac:dyDescent="0.2">
      <c r="C535" s="5"/>
      <c r="I535" s="5"/>
      <c r="L535" s="5"/>
      <c r="M535" s="5"/>
      <c r="N535" s="5"/>
      <c r="P535" s="5"/>
      <c r="Q535" s="5"/>
      <c r="R535" s="5"/>
      <c r="S535" s="5"/>
      <c r="U535" s="5"/>
      <c r="W535" s="5"/>
    </row>
    <row r="536" spans="3:23" x14ac:dyDescent="0.2">
      <c r="C536" s="5"/>
      <c r="I536" s="5"/>
      <c r="L536" s="5"/>
      <c r="M536" s="5"/>
      <c r="N536" s="5"/>
      <c r="P536" s="5"/>
      <c r="Q536" s="5"/>
      <c r="R536" s="5"/>
      <c r="S536" s="5"/>
      <c r="U536" s="5"/>
      <c r="W536" s="5"/>
    </row>
    <row r="537" spans="3:23" x14ac:dyDescent="0.2">
      <c r="C537" s="5"/>
      <c r="I537" s="5"/>
      <c r="L537" s="5"/>
      <c r="M537" s="5"/>
      <c r="N537" s="5"/>
      <c r="P537" s="5"/>
      <c r="Q537" s="5"/>
      <c r="R537" s="5"/>
      <c r="S537" s="5"/>
      <c r="U537" s="5"/>
      <c r="W537" s="5"/>
    </row>
    <row r="538" spans="3:23" x14ac:dyDescent="0.2">
      <c r="C538" s="5"/>
      <c r="I538" s="5"/>
      <c r="L538" s="5"/>
      <c r="M538" s="5"/>
      <c r="N538" s="5"/>
      <c r="P538" s="5"/>
      <c r="Q538" s="5"/>
      <c r="R538" s="5"/>
      <c r="S538" s="5"/>
      <c r="U538" s="5"/>
      <c r="W538" s="5"/>
    </row>
    <row r="539" spans="3:23" x14ac:dyDescent="0.2">
      <c r="C539" s="5"/>
      <c r="I539" s="5"/>
      <c r="L539" s="5"/>
      <c r="M539" s="5"/>
      <c r="N539" s="5"/>
      <c r="P539" s="5"/>
      <c r="Q539" s="5"/>
      <c r="R539" s="5"/>
      <c r="S539" s="5"/>
      <c r="U539" s="5"/>
      <c r="W539" s="5"/>
    </row>
    <row r="540" spans="3:23" x14ac:dyDescent="0.2">
      <c r="C540" s="5"/>
      <c r="I540" s="5"/>
      <c r="L540" s="5"/>
      <c r="M540" s="5"/>
      <c r="N540" s="5"/>
      <c r="P540" s="5"/>
      <c r="Q540" s="5"/>
      <c r="R540" s="5"/>
      <c r="S540" s="5"/>
      <c r="U540" s="5"/>
      <c r="W540" s="5"/>
    </row>
    <row r="541" spans="3:23" x14ac:dyDescent="0.2">
      <c r="C541" s="5"/>
      <c r="I541" s="5"/>
      <c r="L541" s="5"/>
      <c r="M541" s="5"/>
      <c r="N541" s="5"/>
      <c r="P541" s="5"/>
      <c r="Q541" s="5"/>
      <c r="R541" s="5"/>
      <c r="S541" s="5"/>
      <c r="U541" s="5"/>
      <c r="W541" s="5"/>
    </row>
    <row r="542" spans="3:23" x14ac:dyDescent="0.2">
      <c r="C542" s="5"/>
      <c r="I542" s="5"/>
      <c r="L542" s="5"/>
      <c r="M542" s="5"/>
      <c r="N542" s="5"/>
      <c r="P542" s="5"/>
      <c r="Q542" s="5"/>
      <c r="R542" s="5"/>
      <c r="S542" s="5"/>
      <c r="U542" s="5"/>
      <c r="W542" s="5"/>
    </row>
    <row r="543" spans="3:23" x14ac:dyDescent="0.2">
      <c r="C543" s="5"/>
      <c r="I543" s="5"/>
      <c r="L543" s="5"/>
      <c r="M543" s="5"/>
      <c r="N543" s="5"/>
      <c r="P543" s="5"/>
      <c r="Q543" s="5"/>
      <c r="R543" s="5"/>
      <c r="S543" s="5"/>
      <c r="U543" s="5"/>
      <c r="W543" s="5"/>
    </row>
    <row r="544" spans="3:23" x14ac:dyDescent="0.2">
      <c r="C544" s="5"/>
      <c r="I544" s="5"/>
      <c r="L544" s="5"/>
      <c r="M544" s="5"/>
      <c r="N544" s="5"/>
      <c r="P544" s="5"/>
      <c r="Q544" s="5"/>
      <c r="R544" s="5"/>
      <c r="S544" s="5"/>
      <c r="U544" s="5"/>
      <c r="W544" s="5"/>
    </row>
    <row r="545" spans="3:23" x14ac:dyDescent="0.2">
      <c r="C545" s="5"/>
      <c r="I545" s="5"/>
      <c r="L545" s="5"/>
      <c r="M545" s="5"/>
      <c r="N545" s="5"/>
      <c r="P545" s="5"/>
      <c r="Q545" s="5"/>
      <c r="R545" s="5"/>
      <c r="S545" s="5"/>
      <c r="U545" s="5"/>
      <c r="W545" s="5"/>
    </row>
    <row r="546" spans="3:23" x14ac:dyDescent="0.2">
      <c r="C546" s="5"/>
      <c r="I546" s="5"/>
      <c r="L546" s="5"/>
      <c r="M546" s="5"/>
      <c r="N546" s="5"/>
      <c r="P546" s="5"/>
      <c r="Q546" s="5"/>
      <c r="R546" s="5"/>
      <c r="S546" s="5"/>
      <c r="U546" s="5"/>
      <c r="W546" s="5"/>
    </row>
    <row r="547" spans="3:23" x14ac:dyDescent="0.2">
      <c r="C547" s="5"/>
      <c r="I547" s="5"/>
      <c r="L547" s="5"/>
      <c r="M547" s="5"/>
      <c r="N547" s="5"/>
      <c r="P547" s="5"/>
      <c r="Q547" s="5"/>
      <c r="R547" s="5"/>
      <c r="S547" s="5"/>
      <c r="U547" s="5"/>
      <c r="W547" s="5"/>
    </row>
    <row r="548" spans="3:23" x14ac:dyDescent="0.2">
      <c r="C548" s="5"/>
      <c r="I548" s="5"/>
      <c r="L548" s="5"/>
      <c r="M548" s="5"/>
      <c r="N548" s="5"/>
      <c r="P548" s="5"/>
      <c r="Q548" s="5"/>
      <c r="R548" s="5"/>
      <c r="S548" s="5"/>
      <c r="U548" s="5"/>
      <c r="W548" s="5"/>
    </row>
    <row r="549" spans="3:23" x14ac:dyDescent="0.2">
      <c r="C549" s="5"/>
      <c r="I549" s="5"/>
      <c r="L549" s="5"/>
      <c r="M549" s="5"/>
      <c r="N549" s="5"/>
      <c r="P549" s="5"/>
      <c r="Q549" s="5"/>
      <c r="R549" s="5"/>
      <c r="S549" s="5"/>
      <c r="U549" s="5"/>
      <c r="W549" s="5"/>
    </row>
    <row r="550" spans="3:23" x14ac:dyDescent="0.2">
      <c r="C550" s="5"/>
      <c r="I550" s="5"/>
      <c r="L550" s="5"/>
      <c r="M550" s="5"/>
      <c r="N550" s="5"/>
      <c r="P550" s="5"/>
      <c r="Q550" s="5"/>
      <c r="R550" s="5"/>
      <c r="S550" s="5"/>
      <c r="U550" s="5"/>
      <c r="W550" s="5"/>
    </row>
    <row r="551" spans="3:23" x14ac:dyDescent="0.2">
      <c r="C551" s="5"/>
      <c r="I551" s="5"/>
      <c r="L551" s="5"/>
      <c r="M551" s="5"/>
      <c r="N551" s="5"/>
      <c r="P551" s="5"/>
      <c r="Q551" s="5"/>
      <c r="R551" s="5"/>
      <c r="S551" s="5"/>
      <c r="U551" s="5"/>
      <c r="W551" s="5"/>
    </row>
    <row r="552" spans="3:23" x14ac:dyDescent="0.2">
      <c r="C552" s="5"/>
      <c r="I552" s="5"/>
      <c r="L552" s="5"/>
      <c r="M552" s="5"/>
      <c r="N552" s="5"/>
      <c r="P552" s="5"/>
      <c r="Q552" s="5"/>
      <c r="R552" s="5"/>
      <c r="S552" s="5"/>
      <c r="U552" s="5"/>
      <c r="W552" s="5"/>
    </row>
    <row r="553" spans="3:23" x14ac:dyDescent="0.2">
      <c r="C553" s="5"/>
      <c r="I553" s="5"/>
      <c r="L553" s="5"/>
      <c r="M553" s="5"/>
      <c r="N553" s="5"/>
      <c r="P553" s="5"/>
      <c r="Q553" s="5"/>
      <c r="R553" s="5"/>
      <c r="S553" s="5"/>
      <c r="U553" s="5"/>
      <c r="W553" s="5"/>
    </row>
    <row r="554" spans="3:23" x14ac:dyDescent="0.2">
      <c r="C554" s="5"/>
      <c r="I554" s="5"/>
      <c r="L554" s="5"/>
      <c r="M554" s="5"/>
      <c r="N554" s="5"/>
      <c r="P554" s="5"/>
      <c r="Q554" s="5"/>
      <c r="R554" s="5"/>
      <c r="S554" s="5"/>
      <c r="U554" s="5"/>
      <c r="W554" s="5"/>
    </row>
    <row r="555" spans="3:23" x14ac:dyDescent="0.2">
      <c r="C555" s="5"/>
      <c r="I555" s="5"/>
      <c r="L555" s="5"/>
      <c r="M555" s="5"/>
      <c r="N555" s="5"/>
      <c r="P555" s="5"/>
      <c r="Q555" s="5"/>
      <c r="R555" s="5"/>
      <c r="S555" s="5"/>
      <c r="U555" s="5"/>
      <c r="W555" s="5"/>
    </row>
    <row r="556" spans="3:23" x14ac:dyDescent="0.2">
      <c r="C556" s="5"/>
      <c r="I556" s="5"/>
      <c r="L556" s="5"/>
      <c r="M556" s="5"/>
      <c r="N556" s="5"/>
      <c r="P556" s="5"/>
      <c r="Q556" s="5"/>
      <c r="R556" s="5"/>
      <c r="S556" s="5"/>
      <c r="U556" s="5"/>
      <c r="W556" s="5"/>
    </row>
    <row r="557" spans="3:23" x14ac:dyDescent="0.2">
      <c r="C557" s="5"/>
      <c r="I557" s="5"/>
      <c r="L557" s="5"/>
      <c r="M557" s="5"/>
      <c r="N557" s="5"/>
      <c r="P557" s="5"/>
      <c r="Q557" s="5"/>
      <c r="R557" s="5"/>
      <c r="S557" s="5"/>
      <c r="U557" s="5"/>
      <c r="W557" s="5"/>
    </row>
    <row r="558" spans="3:23" x14ac:dyDescent="0.2">
      <c r="C558" s="5"/>
      <c r="I558" s="5"/>
      <c r="L558" s="5"/>
      <c r="M558" s="5"/>
      <c r="N558" s="5"/>
      <c r="P558" s="5"/>
      <c r="Q558" s="5"/>
      <c r="R558" s="5"/>
      <c r="S558" s="5"/>
      <c r="U558" s="5"/>
      <c r="W558" s="5"/>
    </row>
    <row r="559" spans="3:23" x14ac:dyDescent="0.2">
      <c r="C559" s="5"/>
      <c r="I559" s="5"/>
      <c r="L559" s="5"/>
      <c r="M559" s="5"/>
      <c r="N559" s="5"/>
      <c r="P559" s="5"/>
      <c r="Q559" s="5"/>
      <c r="R559" s="5"/>
      <c r="S559" s="5"/>
      <c r="U559" s="5"/>
      <c r="W559" s="5"/>
    </row>
    <row r="560" spans="3:23" x14ac:dyDescent="0.2">
      <c r="C560" s="5"/>
      <c r="I560" s="5"/>
      <c r="L560" s="5"/>
      <c r="M560" s="5"/>
      <c r="N560" s="5"/>
      <c r="P560" s="5"/>
      <c r="Q560" s="5"/>
      <c r="R560" s="5"/>
      <c r="S560" s="5"/>
      <c r="U560" s="5"/>
      <c r="W560" s="5"/>
    </row>
    <row r="561" spans="3:23" x14ac:dyDescent="0.2">
      <c r="C561" s="5"/>
      <c r="I561" s="5"/>
      <c r="L561" s="5"/>
      <c r="M561" s="5"/>
      <c r="N561" s="5"/>
      <c r="P561" s="5"/>
      <c r="Q561" s="5"/>
      <c r="R561" s="5"/>
      <c r="S561" s="5"/>
      <c r="U561" s="5"/>
      <c r="W561" s="5"/>
    </row>
    <row r="562" spans="3:23" x14ac:dyDescent="0.2">
      <c r="C562" s="5"/>
      <c r="I562" s="5"/>
      <c r="L562" s="5"/>
      <c r="M562" s="5"/>
      <c r="N562" s="5"/>
      <c r="P562" s="5"/>
      <c r="Q562" s="5"/>
      <c r="R562" s="5"/>
      <c r="S562" s="5"/>
      <c r="U562" s="5"/>
      <c r="W562" s="5"/>
    </row>
    <row r="563" spans="3:23" x14ac:dyDescent="0.2">
      <c r="C563" s="5"/>
      <c r="I563" s="5"/>
      <c r="L563" s="5"/>
      <c r="M563" s="5"/>
      <c r="N563" s="5"/>
      <c r="P563" s="5"/>
      <c r="Q563" s="5"/>
      <c r="R563" s="5"/>
      <c r="S563" s="5"/>
      <c r="U563" s="5"/>
      <c r="W563" s="5"/>
    </row>
    <row r="564" spans="3:23" x14ac:dyDescent="0.2">
      <c r="C564" s="5"/>
      <c r="I564" s="5"/>
      <c r="L564" s="5"/>
      <c r="M564" s="5"/>
      <c r="N564" s="5"/>
      <c r="P564" s="5"/>
      <c r="Q564" s="5"/>
      <c r="R564" s="5"/>
      <c r="S564" s="5"/>
      <c r="U564" s="5"/>
      <c r="W564" s="5"/>
    </row>
    <row r="565" spans="3:23" x14ac:dyDescent="0.2">
      <c r="C565" s="5"/>
      <c r="I565" s="5"/>
      <c r="L565" s="5"/>
      <c r="M565" s="5"/>
      <c r="N565" s="5"/>
      <c r="P565" s="5"/>
      <c r="Q565" s="5"/>
      <c r="R565" s="5"/>
      <c r="S565" s="5"/>
      <c r="U565" s="5"/>
      <c r="W565" s="5"/>
    </row>
    <row r="566" spans="3:23" x14ac:dyDescent="0.2">
      <c r="C566" s="5"/>
      <c r="I566" s="5"/>
      <c r="L566" s="5"/>
      <c r="M566" s="5"/>
      <c r="N566" s="5"/>
      <c r="P566" s="5"/>
      <c r="Q566" s="5"/>
      <c r="R566" s="5"/>
      <c r="S566" s="5"/>
      <c r="U566" s="5"/>
      <c r="W566" s="5"/>
    </row>
    <row r="567" spans="3:23" x14ac:dyDescent="0.2">
      <c r="C567" s="5"/>
      <c r="I567" s="5"/>
      <c r="L567" s="5"/>
      <c r="M567" s="5"/>
      <c r="N567" s="5"/>
      <c r="P567" s="5"/>
      <c r="Q567" s="5"/>
      <c r="R567" s="5"/>
      <c r="S567" s="5"/>
      <c r="U567" s="5"/>
      <c r="W567" s="5"/>
    </row>
    <row r="568" spans="3:23" x14ac:dyDescent="0.2">
      <c r="C568" s="5"/>
      <c r="I568" s="5"/>
      <c r="L568" s="5"/>
      <c r="M568" s="5"/>
      <c r="N568" s="5"/>
      <c r="P568" s="5"/>
      <c r="Q568" s="5"/>
      <c r="R568" s="5"/>
      <c r="S568" s="5"/>
      <c r="U568" s="5"/>
      <c r="W568" s="5"/>
    </row>
    <row r="569" spans="3:23" x14ac:dyDescent="0.2">
      <c r="C569" s="5"/>
      <c r="I569" s="5"/>
      <c r="L569" s="5"/>
      <c r="M569" s="5"/>
      <c r="N569" s="5"/>
      <c r="P569" s="5"/>
      <c r="Q569" s="5"/>
      <c r="R569" s="5"/>
      <c r="S569" s="5"/>
      <c r="U569" s="5"/>
      <c r="W569" s="5"/>
    </row>
    <row r="570" spans="3:23" x14ac:dyDescent="0.2">
      <c r="C570" s="5"/>
      <c r="I570" s="5"/>
      <c r="L570" s="5"/>
      <c r="M570" s="5"/>
      <c r="N570" s="5"/>
      <c r="P570" s="5"/>
      <c r="Q570" s="5"/>
      <c r="R570" s="5"/>
      <c r="S570" s="5"/>
      <c r="U570" s="5"/>
      <c r="W570" s="5"/>
    </row>
    <row r="571" spans="3:23" x14ac:dyDescent="0.2">
      <c r="C571" s="5"/>
      <c r="I571" s="5"/>
      <c r="L571" s="5"/>
      <c r="M571" s="5"/>
      <c r="N571" s="5"/>
      <c r="P571" s="5"/>
      <c r="Q571" s="5"/>
      <c r="R571" s="5"/>
      <c r="S571" s="5"/>
      <c r="U571" s="5"/>
      <c r="W571" s="5"/>
    </row>
    <row r="572" spans="3:23" x14ac:dyDescent="0.2">
      <c r="C572" s="5"/>
      <c r="I572" s="5"/>
      <c r="L572" s="5"/>
      <c r="M572" s="5"/>
      <c r="N572" s="5"/>
      <c r="P572" s="5"/>
      <c r="Q572" s="5"/>
      <c r="R572" s="5"/>
      <c r="S572" s="5"/>
      <c r="U572" s="5"/>
      <c r="W572" s="5"/>
    </row>
    <row r="573" spans="3:23" x14ac:dyDescent="0.2">
      <c r="C573" s="5"/>
      <c r="I573" s="5"/>
      <c r="L573" s="5"/>
      <c r="M573" s="5"/>
      <c r="N573" s="5"/>
      <c r="P573" s="5"/>
      <c r="Q573" s="5"/>
      <c r="R573" s="5"/>
      <c r="S573" s="5"/>
      <c r="U573" s="5"/>
      <c r="W573" s="5"/>
    </row>
    <row r="574" spans="3:23" x14ac:dyDescent="0.2">
      <c r="C574" s="5"/>
      <c r="I574" s="5"/>
      <c r="L574" s="5"/>
      <c r="M574" s="5"/>
      <c r="N574" s="5"/>
      <c r="P574" s="5"/>
      <c r="Q574" s="5"/>
      <c r="R574" s="5"/>
      <c r="S574" s="5"/>
      <c r="U574" s="5"/>
      <c r="W574" s="5"/>
    </row>
    <row r="575" spans="3:23" x14ac:dyDescent="0.2">
      <c r="C575" s="5"/>
      <c r="I575" s="5"/>
      <c r="L575" s="5"/>
      <c r="M575" s="5"/>
      <c r="N575" s="5"/>
      <c r="P575" s="5"/>
      <c r="Q575" s="5"/>
      <c r="R575" s="5"/>
      <c r="S575" s="5"/>
      <c r="U575" s="5"/>
      <c r="W575" s="5"/>
    </row>
    <row r="576" spans="3:23" x14ac:dyDescent="0.2">
      <c r="C576" s="5"/>
      <c r="I576" s="5"/>
      <c r="L576" s="5"/>
      <c r="M576" s="5"/>
      <c r="N576" s="5"/>
      <c r="P576" s="5"/>
      <c r="Q576" s="5"/>
      <c r="R576" s="5"/>
      <c r="S576" s="5"/>
      <c r="U576" s="5"/>
      <c r="W576" s="5"/>
    </row>
    <row r="577" spans="3:23" x14ac:dyDescent="0.2">
      <c r="C577" s="5"/>
      <c r="I577" s="5"/>
      <c r="L577" s="5"/>
      <c r="M577" s="5"/>
      <c r="N577" s="5"/>
      <c r="P577" s="5"/>
      <c r="Q577" s="5"/>
      <c r="R577" s="5"/>
      <c r="S577" s="5"/>
      <c r="U577" s="5"/>
      <c r="W577" s="5"/>
    </row>
    <row r="578" spans="3:23" x14ac:dyDescent="0.2">
      <c r="C578" s="5"/>
      <c r="I578" s="5"/>
      <c r="L578" s="5"/>
      <c r="M578" s="5"/>
      <c r="N578" s="5"/>
      <c r="P578" s="5"/>
      <c r="Q578" s="5"/>
      <c r="R578" s="5"/>
      <c r="S578" s="5"/>
      <c r="U578" s="5"/>
      <c r="W578" s="5"/>
    </row>
    <row r="579" spans="3:23" x14ac:dyDescent="0.2">
      <c r="C579" s="5"/>
      <c r="I579" s="5"/>
      <c r="L579" s="5"/>
      <c r="M579" s="5"/>
      <c r="N579" s="5"/>
      <c r="P579" s="5"/>
      <c r="Q579" s="5"/>
      <c r="R579" s="5"/>
      <c r="S579" s="5"/>
      <c r="U579" s="5"/>
      <c r="W579" s="5"/>
    </row>
    <row r="580" spans="3:23" x14ac:dyDescent="0.2">
      <c r="C580" s="5"/>
      <c r="I580" s="5"/>
      <c r="L580" s="5"/>
      <c r="M580" s="5"/>
      <c r="N580" s="5"/>
      <c r="P580" s="5"/>
      <c r="Q580" s="5"/>
      <c r="R580" s="5"/>
      <c r="S580" s="5"/>
      <c r="U580" s="5"/>
      <c r="W580" s="5"/>
    </row>
    <row r="581" spans="3:23" x14ac:dyDescent="0.2">
      <c r="C581" s="5"/>
      <c r="I581" s="5"/>
      <c r="L581" s="5"/>
      <c r="M581" s="5"/>
      <c r="N581" s="5"/>
      <c r="P581" s="5"/>
      <c r="Q581" s="5"/>
      <c r="R581" s="5"/>
      <c r="S581" s="5"/>
      <c r="U581" s="5"/>
      <c r="W581" s="5"/>
    </row>
    <row r="582" spans="3:23" x14ac:dyDescent="0.2">
      <c r="C582" s="5"/>
      <c r="I582" s="5"/>
      <c r="L582" s="5"/>
      <c r="M582" s="5"/>
      <c r="N582" s="5"/>
      <c r="P582" s="5"/>
      <c r="Q582" s="5"/>
      <c r="R582" s="5"/>
      <c r="S582" s="5"/>
      <c r="U582" s="5"/>
      <c r="W582" s="5"/>
    </row>
    <row r="583" spans="3:23" x14ac:dyDescent="0.2">
      <c r="C583" s="5"/>
      <c r="I583" s="5"/>
      <c r="L583" s="5"/>
      <c r="M583" s="5"/>
      <c r="N583" s="5"/>
      <c r="P583" s="5"/>
      <c r="Q583" s="5"/>
      <c r="R583" s="5"/>
      <c r="S583" s="5"/>
      <c r="U583" s="5"/>
      <c r="W583" s="5"/>
    </row>
    <row r="584" spans="3:23" x14ac:dyDescent="0.2">
      <c r="C584" s="5"/>
      <c r="I584" s="5"/>
      <c r="L584" s="5"/>
      <c r="M584" s="5"/>
      <c r="N584" s="5"/>
      <c r="P584" s="5"/>
      <c r="Q584" s="5"/>
      <c r="R584" s="5"/>
      <c r="S584" s="5"/>
      <c r="U584" s="5"/>
      <c r="W584" s="5"/>
    </row>
    <row r="585" spans="3:23" x14ac:dyDescent="0.2">
      <c r="C585" s="5"/>
      <c r="I585" s="5"/>
      <c r="L585" s="5"/>
      <c r="M585" s="5"/>
      <c r="N585" s="5"/>
      <c r="P585" s="5"/>
      <c r="Q585" s="5"/>
      <c r="R585" s="5"/>
      <c r="S585" s="5"/>
      <c r="U585" s="5"/>
      <c r="W585" s="5"/>
    </row>
    <row r="586" spans="3:23" x14ac:dyDescent="0.2">
      <c r="C586" s="5"/>
      <c r="I586" s="5"/>
      <c r="L586" s="5"/>
      <c r="M586" s="5"/>
      <c r="N586" s="5"/>
      <c r="P586" s="5"/>
      <c r="Q586" s="5"/>
      <c r="R586" s="5"/>
      <c r="S586" s="5"/>
      <c r="U586" s="5"/>
      <c r="W586" s="5"/>
    </row>
    <row r="587" spans="3:23" x14ac:dyDescent="0.2">
      <c r="C587" s="5"/>
      <c r="I587" s="5"/>
      <c r="L587" s="5"/>
      <c r="M587" s="5"/>
      <c r="N587" s="5"/>
      <c r="P587" s="5"/>
      <c r="Q587" s="5"/>
      <c r="R587" s="5"/>
      <c r="S587" s="5"/>
      <c r="U587" s="5"/>
      <c r="W587" s="5"/>
    </row>
    <row r="588" spans="3:23" x14ac:dyDescent="0.2">
      <c r="C588" s="5"/>
      <c r="I588" s="5"/>
      <c r="L588" s="5"/>
      <c r="M588" s="5"/>
      <c r="N588" s="5"/>
      <c r="P588" s="5"/>
      <c r="Q588" s="5"/>
      <c r="R588" s="5"/>
      <c r="S588" s="5"/>
      <c r="U588" s="5"/>
      <c r="W588" s="5"/>
    </row>
    <row r="589" spans="3:23" x14ac:dyDescent="0.2">
      <c r="C589" s="5"/>
      <c r="I589" s="5"/>
      <c r="L589" s="5"/>
      <c r="M589" s="5"/>
      <c r="N589" s="5"/>
      <c r="P589" s="5"/>
      <c r="Q589" s="5"/>
      <c r="R589" s="5"/>
      <c r="S589" s="5"/>
      <c r="U589" s="5"/>
      <c r="W589" s="5"/>
    </row>
    <row r="590" spans="3:23" x14ac:dyDescent="0.2">
      <c r="C590" s="5"/>
      <c r="I590" s="5"/>
      <c r="L590" s="5"/>
      <c r="M590" s="5"/>
      <c r="N590" s="5"/>
      <c r="P590" s="5"/>
      <c r="Q590" s="5"/>
      <c r="R590" s="5"/>
      <c r="S590" s="5"/>
      <c r="U590" s="5"/>
      <c r="W590" s="5"/>
    </row>
    <row r="591" spans="3:23" x14ac:dyDescent="0.2">
      <c r="C591" s="5"/>
      <c r="I591" s="5"/>
      <c r="L591" s="5"/>
      <c r="M591" s="5"/>
      <c r="N591" s="5"/>
      <c r="P591" s="5"/>
      <c r="Q591" s="5"/>
      <c r="R591" s="5"/>
      <c r="S591" s="5"/>
      <c r="U591" s="5"/>
      <c r="W591" s="5"/>
    </row>
    <row r="592" spans="3:23" x14ac:dyDescent="0.2">
      <c r="C592" s="5"/>
      <c r="I592" s="5"/>
      <c r="L592" s="5"/>
      <c r="M592" s="5"/>
      <c r="N592" s="5"/>
      <c r="P592" s="5"/>
      <c r="Q592" s="5"/>
      <c r="R592" s="5"/>
      <c r="S592" s="5"/>
      <c r="U592" s="5"/>
      <c r="W592" s="5"/>
    </row>
    <row r="593" spans="3:23" x14ac:dyDescent="0.2">
      <c r="C593" s="5"/>
      <c r="I593" s="5"/>
      <c r="L593" s="5"/>
      <c r="M593" s="5"/>
      <c r="N593" s="5"/>
      <c r="P593" s="5"/>
      <c r="Q593" s="5"/>
      <c r="R593" s="5"/>
      <c r="S593" s="5"/>
      <c r="U593" s="5"/>
      <c r="W593" s="5"/>
    </row>
    <row r="594" spans="3:23" x14ac:dyDescent="0.2">
      <c r="C594" s="5"/>
      <c r="I594" s="5"/>
      <c r="L594" s="5"/>
      <c r="M594" s="5"/>
      <c r="N594" s="5"/>
      <c r="P594" s="5"/>
      <c r="Q594" s="5"/>
      <c r="R594" s="5"/>
      <c r="S594" s="5"/>
      <c r="U594" s="5"/>
      <c r="W594" s="5"/>
    </row>
    <row r="595" spans="3:23" x14ac:dyDescent="0.2">
      <c r="C595" s="5"/>
      <c r="I595" s="5"/>
      <c r="L595" s="5"/>
      <c r="M595" s="5"/>
      <c r="N595" s="5"/>
      <c r="P595" s="5"/>
      <c r="Q595" s="5"/>
      <c r="R595" s="5"/>
      <c r="S595" s="5"/>
      <c r="U595" s="5"/>
      <c r="W595" s="5"/>
    </row>
    <row r="596" spans="3:23" x14ac:dyDescent="0.2">
      <c r="C596" s="5"/>
      <c r="I596" s="5"/>
      <c r="L596" s="5"/>
      <c r="M596" s="5"/>
      <c r="N596" s="5"/>
      <c r="P596" s="5"/>
      <c r="Q596" s="5"/>
      <c r="R596" s="5"/>
      <c r="S596" s="5"/>
      <c r="U596" s="5"/>
      <c r="W596" s="5"/>
    </row>
    <row r="597" spans="3:23" x14ac:dyDescent="0.2">
      <c r="C597" s="5"/>
      <c r="I597" s="5"/>
      <c r="L597" s="5"/>
      <c r="M597" s="5"/>
      <c r="N597" s="5"/>
      <c r="P597" s="5"/>
      <c r="Q597" s="5"/>
      <c r="R597" s="5"/>
      <c r="S597" s="5"/>
      <c r="U597" s="5"/>
      <c r="W597" s="5"/>
    </row>
    <row r="598" spans="3:23" x14ac:dyDescent="0.2">
      <c r="C598" s="5"/>
      <c r="I598" s="5"/>
      <c r="L598" s="5"/>
      <c r="M598" s="5"/>
      <c r="N598" s="5"/>
      <c r="P598" s="5"/>
      <c r="Q598" s="5"/>
      <c r="R598" s="5"/>
      <c r="S598" s="5"/>
      <c r="U598" s="5"/>
      <c r="W598" s="5"/>
    </row>
    <row r="599" spans="3:23" x14ac:dyDescent="0.2">
      <c r="C599" s="5"/>
      <c r="I599" s="5"/>
      <c r="L599" s="5"/>
      <c r="M599" s="5"/>
      <c r="N599" s="5"/>
      <c r="P599" s="5"/>
      <c r="Q599" s="5"/>
      <c r="R599" s="5"/>
      <c r="S599" s="5"/>
      <c r="U599" s="5"/>
      <c r="W599" s="5"/>
    </row>
    <row r="600" spans="3:23" x14ac:dyDescent="0.2">
      <c r="C600" s="5"/>
      <c r="I600" s="5"/>
      <c r="L600" s="5"/>
      <c r="M600" s="5"/>
      <c r="N600" s="5"/>
      <c r="P600" s="5"/>
      <c r="Q600" s="5"/>
      <c r="R600" s="5"/>
      <c r="S600" s="5"/>
      <c r="U600" s="5"/>
      <c r="W600" s="5"/>
    </row>
    <row r="601" spans="3:23" x14ac:dyDescent="0.2">
      <c r="C601" s="5"/>
      <c r="I601" s="5"/>
      <c r="L601" s="5"/>
      <c r="M601" s="5"/>
      <c r="N601" s="5"/>
      <c r="P601" s="5"/>
      <c r="Q601" s="5"/>
      <c r="R601" s="5"/>
      <c r="S601" s="5"/>
      <c r="U601" s="5"/>
      <c r="W601" s="5"/>
    </row>
    <row r="602" spans="3:23" x14ac:dyDescent="0.2">
      <c r="C602" s="5"/>
      <c r="I602" s="5"/>
      <c r="L602" s="5"/>
      <c r="M602" s="5"/>
      <c r="N602" s="5"/>
      <c r="P602" s="5"/>
      <c r="Q602" s="5"/>
      <c r="R602" s="5"/>
      <c r="S602" s="5"/>
      <c r="U602" s="5"/>
      <c r="W602" s="5"/>
    </row>
    <row r="603" spans="3:23" x14ac:dyDescent="0.2">
      <c r="C603" s="5"/>
      <c r="I603" s="5"/>
      <c r="L603" s="5"/>
      <c r="M603" s="5"/>
      <c r="N603" s="5"/>
      <c r="P603" s="5"/>
      <c r="Q603" s="5"/>
      <c r="R603" s="5"/>
      <c r="S603" s="5"/>
      <c r="U603" s="5"/>
      <c r="W603" s="5"/>
    </row>
    <row r="604" spans="3:23" x14ac:dyDescent="0.2">
      <c r="C604" s="5"/>
      <c r="I604" s="5"/>
      <c r="L604" s="5"/>
      <c r="M604" s="5"/>
      <c r="N604" s="5"/>
      <c r="P604" s="5"/>
      <c r="Q604" s="5"/>
      <c r="R604" s="5"/>
      <c r="S604" s="5"/>
      <c r="U604" s="5"/>
      <c r="W604" s="5"/>
    </row>
    <row r="605" spans="3:23" x14ac:dyDescent="0.2">
      <c r="C605" s="5"/>
      <c r="I605" s="5"/>
      <c r="L605" s="5"/>
      <c r="M605" s="5"/>
      <c r="N605" s="5"/>
      <c r="P605" s="5"/>
      <c r="Q605" s="5"/>
      <c r="R605" s="5"/>
      <c r="S605" s="5"/>
      <c r="U605" s="5"/>
      <c r="W605" s="5"/>
    </row>
    <row r="606" spans="3:23" x14ac:dyDescent="0.2">
      <c r="C606" s="5"/>
      <c r="I606" s="5"/>
      <c r="L606" s="5"/>
      <c r="M606" s="5"/>
      <c r="N606" s="5"/>
      <c r="P606" s="5"/>
      <c r="Q606" s="5"/>
      <c r="R606" s="5"/>
      <c r="S606" s="5"/>
      <c r="U606" s="5"/>
      <c r="W606" s="5"/>
    </row>
    <row r="607" spans="3:23" x14ac:dyDescent="0.2">
      <c r="C607" s="5"/>
      <c r="I607" s="5"/>
      <c r="L607" s="5"/>
      <c r="M607" s="5"/>
      <c r="N607" s="5"/>
      <c r="P607" s="5"/>
      <c r="Q607" s="5"/>
      <c r="R607" s="5"/>
      <c r="S607" s="5"/>
      <c r="U607" s="5"/>
      <c r="W607" s="5"/>
    </row>
    <row r="608" spans="3:23" x14ac:dyDescent="0.2">
      <c r="C608" s="5"/>
      <c r="I608" s="5"/>
      <c r="L608" s="5"/>
      <c r="M608" s="5"/>
      <c r="N608" s="5"/>
      <c r="P608" s="5"/>
      <c r="Q608" s="5"/>
      <c r="R608" s="5"/>
      <c r="S608" s="5"/>
      <c r="U608" s="5"/>
      <c r="W608" s="5"/>
    </row>
    <row r="609" spans="3:23" x14ac:dyDescent="0.2">
      <c r="C609" s="5"/>
      <c r="I609" s="5"/>
      <c r="L609" s="5"/>
      <c r="M609" s="5"/>
      <c r="N609" s="5"/>
      <c r="P609" s="5"/>
      <c r="Q609" s="5"/>
      <c r="R609" s="5"/>
      <c r="S609" s="5"/>
      <c r="U609" s="5"/>
      <c r="W609" s="5"/>
    </row>
    <row r="610" spans="3:23" x14ac:dyDescent="0.2">
      <c r="C610" s="5"/>
      <c r="I610" s="5"/>
      <c r="L610" s="5"/>
      <c r="M610" s="5"/>
      <c r="N610" s="5"/>
      <c r="P610" s="5"/>
      <c r="Q610" s="5"/>
      <c r="R610" s="5"/>
      <c r="S610" s="5"/>
      <c r="U610" s="5"/>
      <c r="W610" s="5"/>
    </row>
    <row r="611" spans="3:23" x14ac:dyDescent="0.2">
      <c r="C611" s="5"/>
      <c r="I611" s="5"/>
      <c r="L611" s="5"/>
      <c r="M611" s="5"/>
      <c r="N611" s="5"/>
      <c r="P611" s="5"/>
      <c r="Q611" s="5"/>
      <c r="R611" s="5"/>
      <c r="S611" s="5"/>
      <c r="U611" s="5"/>
      <c r="W611" s="5"/>
    </row>
    <row r="612" spans="3:23" x14ac:dyDescent="0.2">
      <c r="C612" s="5"/>
      <c r="I612" s="5"/>
      <c r="L612" s="5"/>
      <c r="M612" s="5"/>
      <c r="N612" s="5"/>
      <c r="P612" s="5"/>
      <c r="Q612" s="5"/>
      <c r="R612" s="5"/>
      <c r="S612" s="5"/>
      <c r="U612" s="5"/>
      <c r="W612" s="5"/>
    </row>
    <row r="613" spans="3:23" x14ac:dyDescent="0.2">
      <c r="C613" s="5"/>
      <c r="I613" s="5"/>
      <c r="L613" s="5"/>
      <c r="M613" s="5"/>
      <c r="N613" s="5"/>
      <c r="P613" s="5"/>
      <c r="Q613" s="5"/>
      <c r="R613" s="5"/>
      <c r="S613" s="5"/>
      <c r="U613" s="5"/>
      <c r="W613" s="5"/>
    </row>
    <row r="614" spans="3:23" x14ac:dyDescent="0.2">
      <c r="C614" s="5"/>
      <c r="I614" s="5"/>
      <c r="L614" s="5"/>
      <c r="M614" s="5"/>
      <c r="N614" s="5"/>
      <c r="P614" s="5"/>
      <c r="Q614" s="5"/>
      <c r="R614" s="5"/>
      <c r="S614" s="5"/>
      <c r="U614" s="5"/>
      <c r="W614" s="5"/>
    </row>
    <row r="615" spans="3:23" x14ac:dyDescent="0.2">
      <c r="C615" s="5"/>
      <c r="I615" s="5"/>
      <c r="L615" s="5"/>
      <c r="M615" s="5"/>
      <c r="N615" s="5"/>
      <c r="P615" s="5"/>
      <c r="Q615" s="5"/>
      <c r="R615" s="5"/>
      <c r="S615" s="5"/>
      <c r="U615" s="5"/>
      <c r="W615" s="5"/>
    </row>
    <row r="616" spans="3:23" x14ac:dyDescent="0.2">
      <c r="C616" s="5"/>
      <c r="I616" s="5"/>
      <c r="L616" s="5"/>
      <c r="M616" s="5"/>
      <c r="N616" s="5"/>
      <c r="P616" s="5"/>
      <c r="Q616" s="5"/>
      <c r="R616" s="5"/>
      <c r="S616" s="5"/>
      <c r="U616" s="5"/>
      <c r="W616" s="5"/>
    </row>
    <row r="617" spans="3:23" x14ac:dyDescent="0.2">
      <c r="C617" s="5"/>
      <c r="I617" s="5"/>
      <c r="L617" s="5"/>
      <c r="M617" s="5"/>
      <c r="N617" s="5"/>
      <c r="P617" s="5"/>
      <c r="Q617" s="5"/>
      <c r="R617" s="5"/>
      <c r="S617" s="5"/>
      <c r="U617" s="5"/>
      <c r="W617" s="5"/>
    </row>
    <row r="618" spans="3:23" x14ac:dyDescent="0.2">
      <c r="C618" s="5"/>
      <c r="I618" s="5"/>
      <c r="L618" s="5"/>
      <c r="M618" s="5"/>
      <c r="N618" s="5"/>
      <c r="P618" s="5"/>
      <c r="Q618" s="5"/>
      <c r="R618" s="5"/>
      <c r="S618" s="5"/>
      <c r="U618" s="5"/>
      <c r="W618" s="5"/>
    </row>
    <row r="619" spans="3:23" x14ac:dyDescent="0.2">
      <c r="C619" s="5"/>
      <c r="I619" s="5"/>
      <c r="L619" s="5"/>
      <c r="M619" s="5"/>
      <c r="N619" s="5"/>
      <c r="P619" s="5"/>
      <c r="Q619" s="5"/>
      <c r="R619" s="5"/>
      <c r="S619" s="5"/>
      <c r="U619" s="5"/>
      <c r="W619" s="5"/>
    </row>
    <row r="620" spans="3:23" x14ac:dyDescent="0.2">
      <c r="C620" s="5"/>
      <c r="I620" s="5"/>
      <c r="L620" s="5"/>
      <c r="M620" s="5"/>
      <c r="N620" s="5"/>
      <c r="P620" s="5"/>
      <c r="Q620" s="5"/>
      <c r="R620" s="5"/>
      <c r="S620" s="5"/>
      <c r="U620" s="5"/>
      <c r="W620" s="5"/>
    </row>
    <row r="621" spans="3:23" x14ac:dyDescent="0.2">
      <c r="C621" s="5"/>
      <c r="I621" s="5"/>
      <c r="L621" s="5"/>
      <c r="M621" s="5"/>
      <c r="N621" s="5"/>
      <c r="P621" s="5"/>
      <c r="Q621" s="5"/>
      <c r="R621" s="5"/>
      <c r="S621" s="5"/>
      <c r="U621" s="5"/>
      <c r="W621" s="5"/>
    </row>
    <row r="622" spans="3:23" x14ac:dyDescent="0.2">
      <c r="C622" s="5"/>
      <c r="I622" s="5"/>
      <c r="L622" s="5"/>
      <c r="M622" s="5"/>
      <c r="N622" s="5"/>
      <c r="P622" s="5"/>
      <c r="Q622" s="5"/>
      <c r="R622" s="5"/>
      <c r="S622" s="5"/>
      <c r="U622" s="5"/>
      <c r="W622" s="5"/>
    </row>
    <row r="623" spans="3:23" x14ac:dyDescent="0.2">
      <c r="C623" s="5"/>
      <c r="I623" s="5"/>
      <c r="L623" s="5"/>
      <c r="M623" s="5"/>
      <c r="N623" s="5"/>
      <c r="P623" s="5"/>
      <c r="Q623" s="5"/>
      <c r="R623" s="5"/>
      <c r="S623" s="5"/>
      <c r="U623" s="5"/>
      <c r="W623" s="5"/>
    </row>
    <row r="624" spans="3:23" x14ac:dyDescent="0.2">
      <c r="C624" s="5"/>
      <c r="I624" s="5"/>
      <c r="L624" s="5"/>
      <c r="M624" s="5"/>
      <c r="N624" s="5"/>
      <c r="P624" s="5"/>
      <c r="Q624" s="5"/>
      <c r="R624" s="5"/>
      <c r="S624" s="5"/>
      <c r="U624" s="5"/>
      <c r="W624" s="5"/>
    </row>
    <row r="625" spans="3:23" x14ac:dyDescent="0.2">
      <c r="C625" s="5"/>
      <c r="I625" s="5"/>
      <c r="L625" s="5"/>
      <c r="M625" s="5"/>
      <c r="N625" s="5"/>
      <c r="P625" s="5"/>
      <c r="Q625" s="5"/>
      <c r="R625" s="5"/>
      <c r="S625" s="5"/>
      <c r="U625" s="5"/>
      <c r="W625" s="5"/>
    </row>
    <row r="626" spans="3:23" x14ac:dyDescent="0.2">
      <c r="C626" s="5"/>
      <c r="I626" s="5"/>
      <c r="L626" s="5"/>
      <c r="M626" s="5"/>
      <c r="N626" s="5"/>
      <c r="P626" s="5"/>
      <c r="Q626" s="5"/>
      <c r="R626" s="5"/>
      <c r="S626" s="5"/>
      <c r="U626" s="5"/>
      <c r="W626" s="5"/>
    </row>
    <row r="627" spans="3:23" x14ac:dyDescent="0.2">
      <c r="C627" s="5"/>
      <c r="I627" s="5"/>
      <c r="L627" s="5"/>
      <c r="M627" s="5"/>
      <c r="N627" s="5"/>
      <c r="P627" s="5"/>
      <c r="Q627" s="5"/>
      <c r="R627" s="5"/>
      <c r="S627" s="5"/>
      <c r="U627" s="5"/>
      <c r="W627" s="5"/>
    </row>
    <row r="628" spans="3:23" x14ac:dyDescent="0.2">
      <c r="C628" s="5"/>
      <c r="I628" s="5"/>
      <c r="L628" s="5"/>
      <c r="M628" s="5"/>
      <c r="N628" s="5"/>
      <c r="P628" s="5"/>
      <c r="Q628" s="5"/>
      <c r="R628" s="5"/>
      <c r="S628" s="5"/>
      <c r="U628" s="5"/>
      <c r="W628" s="5"/>
    </row>
    <row r="629" spans="3:23" x14ac:dyDescent="0.2">
      <c r="C629" s="5"/>
      <c r="I629" s="5"/>
      <c r="L629" s="5"/>
      <c r="M629" s="5"/>
      <c r="N629" s="5"/>
      <c r="P629" s="5"/>
      <c r="Q629" s="5"/>
      <c r="R629" s="5"/>
      <c r="S629" s="5"/>
      <c r="U629" s="5"/>
      <c r="W629" s="5"/>
    </row>
    <row r="630" spans="3:23" x14ac:dyDescent="0.2">
      <c r="C630" s="5"/>
      <c r="I630" s="5"/>
      <c r="L630" s="5"/>
      <c r="M630" s="5"/>
      <c r="N630" s="5"/>
      <c r="P630" s="5"/>
      <c r="Q630" s="5"/>
      <c r="R630" s="5"/>
      <c r="S630" s="5"/>
      <c r="U630" s="5"/>
      <c r="W630" s="5"/>
    </row>
    <row r="631" spans="3:23" x14ac:dyDescent="0.2">
      <c r="C631" s="5"/>
      <c r="I631" s="5"/>
      <c r="L631" s="5"/>
      <c r="M631" s="5"/>
      <c r="N631" s="5"/>
      <c r="P631" s="5"/>
      <c r="Q631" s="5"/>
      <c r="R631" s="5"/>
      <c r="S631" s="5"/>
      <c r="U631" s="5"/>
      <c r="W631" s="5"/>
    </row>
    <row r="632" spans="3:23" x14ac:dyDescent="0.2">
      <c r="C632" s="5"/>
      <c r="I632" s="5"/>
      <c r="L632" s="5"/>
      <c r="M632" s="5"/>
      <c r="N632" s="5"/>
      <c r="P632" s="5"/>
      <c r="Q632" s="5"/>
      <c r="R632" s="5"/>
      <c r="S632" s="5"/>
      <c r="U632" s="5"/>
      <c r="W632" s="5"/>
    </row>
    <row r="633" spans="3:23" x14ac:dyDescent="0.2">
      <c r="C633" s="5"/>
      <c r="I633" s="5"/>
      <c r="L633" s="5"/>
      <c r="M633" s="5"/>
      <c r="N633" s="5"/>
      <c r="P633" s="5"/>
      <c r="Q633" s="5"/>
      <c r="R633" s="5"/>
      <c r="S633" s="5"/>
      <c r="U633" s="5"/>
      <c r="W633" s="5"/>
    </row>
    <row r="634" spans="3:23" x14ac:dyDescent="0.2">
      <c r="C634" s="5"/>
      <c r="I634" s="5"/>
      <c r="L634" s="5"/>
      <c r="M634" s="5"/>
      <c r="N634" s="5"/>
      <c r="P634" s="5"/>
      <c r="Q634" s="5"/>
      <c r="R634" s="5"/>
      <c r="S634" s="5"/>
      <c r="U634" s="5"/>
      <c r="W634" s="5"/>
    </row>
    <row r="635" spans="3:23" x14ac:dyDescent="0.2">
      <c r="C635" s="5"/>
      <c r="I635" s="5"/>
      <c r="L635" s="5"/>
      <c r="M635" s="5"/>
      <c r="N635" s="5"/>
      <c r="P635" s="5"/>
      <c r="Q635" s="5"/>
      <c r="R635" s="5"/>
      <c r="S635" s="5"/>
      <c r="U635" s="5"/>
      <c r="W635" s="5"/>
    </row>
    <row r="636" spans="3:23" x14ac:dyDescent="0.2">
      <c r="C636" s="5"/>
      <c r="I636" s="5"/>
      <c r="L636" s="5"/>
      <c r="M636" s="5"/>
      <c r="N636" s="5"/>
      <c r="P636" s="5"/>
      <c r="Q636" s="5"/>
      <c r="R636" s="5"/>
      <c r="S636" s="5"/>
      <c r="U636" s="5"/>
      <c r="W636" s="5"/>
    </row>
    <row r="637" spans="3:23" x14ac:dyDescent="0.2">
      <c r="C637" s="5"/>
      <c r="I637" s="5"/>
      <c r="L637" s="5"/>
      <c r="M637" s="5"/>
      <c r="N637" s="5"/>
      <c r="P637" s="5"/>
      <c r="Q637" s="5"/>
      <c r="R637" s="5"/>
      <c r="S637" s="5"/>
      <c r="U637" s="5"/>
      <c r="W637" s="5"/>
    </row>
    <row r="638" spans="3:23" x14ac:dyDescent="0.2">
      <c r="C638" s="5"/>
      <c r="I638" s="5"/>
      <c r="L638" s="5"/>
      <c r="M638" s="5"/>
      <c r="N638" s="5"/>
      <c r="P638" s="5"/>
      <c r="Q638" s="5"/>
      <c r="R638" s="5"/>
      <c r="S638" s="5"/>
      <c r="U638" s="5"/>
      <c r="W638" s="5"/>
    </row>
    <row r="639" spans="3:23" x14ac:dyDescent="0.2">
      <c r="C639" s="5"/>
      <c r="I639" s="5"/>
      <c r="L639" s="5"/>
      <c r="M639" s="5"/>
      <c r="N639" s="5"/>
      <c r="P639" s="5"/>
      <c r="Q639" s="5"/>
      <c r="R639" s="5"/>
      <c r="S639" s="5"/>
      <c r="U639" s="5"/>
      <c r="W639" s="5"/>
    </row>
    <row r="640" spans="3:23" x14ac:dyDescent="0.2">
      <c r="C640" s="5"/>
      <c r="I640" s="5"/>
      <c r="L640" s="5"/>
      <c r="M640" s="5"/>
      <c r="N640" s="5"/>
      <c r="P640" s="5"/>
      <c r="Q640" s="5"/>
      <c r="R640" s="5"/>
      <c r="S640" s="5"/>
      <c r="U640" s="5"/>
      <c r="W640" s="5"/>
    </row>
    <row r="641" spans="3:23" x14ac:dyDescent="0.2">
      <c r="C641" s="5"/>
      <c r="I641" s="5"/>
      <c r="L641" s="5"/>
      <c r="M641" s="5"/>
      <c r="N641" s="5"/>
      <c r="P641" s="5"/>
      <c r="Q641" s="5"/>
      <c r="R641" s="5"/>
      <c r="S641" s="5"/>
      <c r="U641" s="5"/>
      <c r="W641" s="5"/>
    </row>
    <row r="642" spans="3:23" x14ac:dyDescent="0.2">
      <c r="C642" s="5"/>
      <c r="I642" s="5"/>
      <c r="L642" s="5"/>
      <c r="M642" s="5"/>
      <c r="N642" s="5"/>
      <c r="P642" s="5"/>
      <c r="Q642" s="5"/>
      <c r="R642" s="5"/>
      <c r="S642" s="5"/>
      <c r="U642" s="5"/>
      <c r="W642" s="5"/>
    </row>
    <row r="643" spans="3:23" x14ac:dyDescent="0.2">
      <c r="C643" s="5"/>
      <c r="I643" s="5"/>
      <c r="L643" s="5"/>
      <c r="M643" s="5"/>
      <c r="N643" s="5"/>
      <c r="P643" s="5"/>
      <c r="Q643" s="5"/>
      <c r="R643" s="5"/>
      <c r="S643" s="5"/>
      <c r="U643" s="5"/>
      <c r="W643" s="5"/>
    </row>
    <row r="644" spans="3:23" x14ac:dyDescent="0.2">
      <c r="C644" s="5"/>
      <c r="I644" s="5"/>
      <c r="L644" s="5"/>
      <c r="M644" s="5"/>
      <c r="N644" s="5"/>
      <c r="P644" s="5"/>
      <c r="Q644" s="5"/>
      <c r="R644" s="5"/>
      <c r="S644" s="5"/>
      <c r="U644" s="5"/>
      <c r="W644" s="5"/>
    </row>
    <row r="645" spans="3:23" x14ac:dyDescent="0.2">
      <c r="C645" s="5"/>
      <c r="I645" s="5"/>
      <c r="L645" s="5"/>
      <c r="M645" s="5"/>
      <c r="N645" s="5"/>
      <c r="P645" s="5"/>
      <c r="Q645" s="5"/>
      <c r="R645" s="5"/>
      <c r="S645" s="5"/>
      <c r="U645" s="5"/>
      <c r="W645" s="5"/>
    </row>
    <row r="646" spans="3:23" x14ac:dyDescent="0.2">
      <c r="C646" s="5"/>
      <c r="I646" s="5"/>
      <c r="L646" s="5"/>
      <c r="M646" s="5"/>
      <c r="N646" s="5"/>
      <c r="P646" s="5"/>
      <c r="Q646" s="5"/>
      <c r="R646" s="5"/>
      <c r="S646" s="5"/>
      <c r="U646" s="5"/>
      <c r="W646" s="5"/>
    </row>
    <row r="647" spans="3:23" x14ac:dyDescent="0.2">
      <c r="C647" s="5"/>
      <c r="I647" s="5"/>
      <c r="L647" s="5"/>
      <c r="M647" s="5"/>
      <c r="N647" s="5"/>
      <c r="P647" s="5"/>
      <c r="Q647" s="5"/>
      <c r="R647" s="5"/>
      <c r="S647" s="5"/>
      <c r="U647" s="5"/>
      <c r="W647" s="5"/>
    </row>
    <row r="648" spans="3:23" x14ac:dyDescent="0.2">
      <c r="C648" s="5"/>
      <c r="I648" s="5"/>
      <c r="L648" s="5"/>
      <c r="M648" s="5"/>
      <c r="N648" s="5"/>
      <c r="P648" s="5"/>
      <c r="Q648" s="5"/>
      <c r="R648" s="5"/>
      <c r="S648" s="5"/>
      <c r="U648" s="5"/>
      <c r="W648" s="5"/>
    </row>
    <row r="649" spans="3:23" x14ac:dyDescent="0.2">
      <c r="C649" s="5"/>
      <c r="I649" s="5"/>
      <c r="L649" s="5"/>
      <c r="M649" s="5"/>
      <c r="N649" s="5"/>
      <c r="P649" s="5"/>
      <c r="Q649" s="5"/>
      <c r="R649" s="5"/>
      <c r="S649" s="5"/>
      <c r="U649" s="5"/>
      <c r="W649" s="5"/>
    </row>
    <row r="650" spans="3:23" x14ac:dyDescent="0.2">
      <c r="C650" s="5"/>
      <c r="I650" s="5"/>
      <c r="L650" s="5"/>
      <c r="M650" s="5"/>
      <c r="N650" s="5"/>
      <c r="P650" s="5"/>
      <c r="Q650" s="5"/>
      <c r="R650" s="5"/>
      <c r="S650" s="5"/>
      <c r="U650" s="5"/>
      <c r="W650" s="5"/>
    </row>
    <row r="651" spans="3:23" x14ac:dyDescent="0.2">
      <c r="C651" s="5"/>
      <c r="I651" s="5"/>
      <c r="L651" s="5"/>
      <c r="M651" s="5"/>
      <c r="N651" s="5"/>
      <c r="P651" s="5"/>
      <c r="Q651" s="5"/>
      <c r="R651" s="5"/>
      <c r="S651" s="5"/>
      <c r="U651" s="5"/>
      <c r="W651" s="5"/>
    </row>
    <row r="652" spans="3:23" x14ac:dyDescent="0.2">
      <c r="C652" s="5"/>
      <c r="I652" s="5"/>
      <c r="L652" s="5"/>
      <c r="M652" s="5"/>
      <c r="N652" s="5"/>
      <c r="P652" s="5"/>
      <c r="Q652" s="5"/>
      <c r="R652" s="5"/>
      <c r="S652" s="5"/>
      <c r="U652" s="5"/>
      <c r="W652" s="5"/>
    </row>
    <row r="653" spans="3:23" x14ac:dyDescent="0.2">
      <c r="C653" s="5"/>
      <c r="I653" s="5"/>
      <c r="L653" s="5"/>
      <c r="M653" s="5"/>
      <c r="N653" s="5"/>
      <c r="P653" s="5"/>
      <c r="Q653" s="5"/>
      <c r="R653" s="5"/>
      <c r="S653" s="5"/>
      <c r="U653" s="5"/>
      <c r="W653" s="5"/>
    </row>
    <row r="654" spans="3:23" x14ac:dyDescent="0.2">
      <c r="C654" s="5"/>
      <c r="I654" s="5"/>
      <c r="L654" s="5"/>
      <c r="M654" s="5"/>
      <c r="N654" s="5"/>
      <c r="P654" s="5"/>
      <c r="Q654" s="5"/>
      <c r="R654" s="5"/>
      <c r="S654" s="5"/>
      <c r="U654" s="5"/>
      <c r="W654" s="5"/>
    </row>
    <row r="655" spans="3:23" x14ac:dyDescent="0.2">
      <c r="C655" s="5"/>
      <c r="I655" s="5"/>
      <c r="L655" s="5"/>
      <c r="M655" s="5"/>
      <c r="N655" s="5"/>
      <c r="P655" s="5"/>
      <c r="Q655" s="5"/>
      <c r="R655" s="5"/>
      <c r="S655" s="5"/>
      <c r="U655" s="5"/>
      <c r="W655" s="5"/>
    </row>
    <row r="656" spans="3:23" x14ac:dyDescent="0.2">
      <c r="C656" s="5"/>
      <c r="I656" s="5"/>
      <c r="L656" s="5"/>
      <c r="M656" s="5"/>
      <c r="N656" s="5"/>
      <c r="P656" s="5"/>
      <c r="Q656" s="5"/>
      <c r="R656" s="5"/>
      <c r="S656" s="5"/>
      <c r="U656" s="5"/>
      <c r="W656" s="5"/>
    </row>
    <row r="657" spans="3:23" x14ac:dyDescent="0.2">
      <c r="C657" s="5"/>
      <c r="I657" s="5"/>
      <c r="L657" s="5"/>
      <c r="M657" s="5"/>
      <c r="N657" s="5"/>
      <c r="P657" s="5"/>
      <c r="Q657" s="5"/>
      <c r="R657" s="5"/>
      <c r="S657" s="5"/>
      <c r="U657" s="5"/>
      <c r="W657" s="5"/>
    </row>
    <row r="658" spans="3:23" x14ac:dyDescent="0.2">
      <c r="C658" s="5"/>
      <c r="I658" s="5"/>
      <c r="L658" s="5"/>
      <c r="M658" s="5"/>
      <c r="N658" s="5"/>
      <c r="P658" s="5"/>
      <c r="Q658" s="5"/>
      <c r="R658" s="5"/>
      <c r="S658" s="5"/>
      <c r="U658" s="5"/>
      <c r="W658" s="5"/>
    </row>
    <row r="659" spans="3:23" x14ac:dyDescent="0.2">
      <c r="C659" s="5"/>
      <c r="I659" s="5"/>
      <c r="L659" s="5"/>
      <c r="M659" s="5"/>
      <c r="N659" s="5"/>
      <c r="P659" s="5"/>
      <c r="Q659" s="5"/>
      <c r="R659" s="5"/>
      <c r="S659" s="5"/>
      <c r="U659" s="5"/>
      <c r="W659" s="5"/>
    </row>
    <row r="660" spans="3:23" x14ac:dyDescent="0.2">
      <c r="C660" s="5"/>
      <c r="I660" s="5"/>
      <c r="L660" s="5"/>
      <c r="M660" s="5"/>
      <c r="N660" s="5"/>
      <c r="P660" s="5"/>
      <c r="Q660" s="5"/>
      <c r="R660" s="5"/>
      <c r="S660" s="5"/>
      <c r="U660" s="5"/>
      <c r="W660" s="5"/>
    </row>
    <row r="661" spans="3:23" x14ac:dyDescent="0.2">
      <c r="C661" s="5"/>
      <c r="I661" s="5"/>
      <c r="L661" s="5"/>
      <c r="M661" s="5"/>
      <c r="N661" s="5"/>
      <c r="P661" s="5"/>
      <c r="Q661" s="5"/>
      <c r="R661" s="5"/>
      <c r="S661" s="5"/>
      <c r="U661" s="5"/>
      <c r="W661" s="5"/>
    </row>
    <row r="662" spans="3:23" x14ac:dyDescent="0.2">
      <c r="C662" s="5"/>
      <c r="I662" s="5"/>
      <c r="L662" s="5"/>
      <c r="M662" s="5"/>
      <c r="N662" s="5"/>
      <c r="P662" s="5"/>
      <c r="Q662" s="5"/>
      <c r="R662" s="5"/>
      <c r="S662" s="5"/>
      <c r="U662" s="5"/>
      <c r="W662" s="5"/>
    </row>
    <row r="663" spans="3:23" x14ac:dyDescent="0.2">
      <c r="C663" s="5"/>
      <c r="I663" s="5"/>
      <c r="L663" s="5"/>
      <c r="M663" s="5"/>
      <c r="N663" s="5"/>
      <c r="P663" s="5"/>
      <c r="Q663" s="5"/>
      <c r="R663" s="5"/>
      <c r="S663" s="5"/>
      <c r="U663" s="5"/>
      <c r="W663" s="5"/>
    </row>
    <row r="664" spans="3:23" x14ac:dyDescent="0.2">
      <c r="C664" s="5"/>
      <c r="I664" s="5"/>
      <c r="L664" s="5"/>
      <c r="M664" s="5"/>
      <c r="N664" s="5"/>
      <c r="P664" s="5"/>
      <c r="Q664" s="5"/>
      <c r="R664" s="5"/>
      <c r="S664" s="5"/>
      <c r="U664" s="5"/>
      <c r="W664" s="5"/>
    </row>
    <row r="665" spans="3:23" x14ac:dyDescent="0.2">
      <c r="C665" s="5"/>
      <c r="I665" s="5"/>
      <c r="L665" s="5"/>
      <c r="M665" s="5"/>
      <c r="N665" s="5"/>
      <c r="P665" s="5"/>
      <c r="Q665" s="5"/>
      <c r="R665" s="5"/>
      <c r="S665" s="5"/>
      <c r="U665" s="5"/>
      <c r="W665" s="5"/>
    </row>
    <row r="666" spans="3:23" x14ac:dyDescent="0.2">
      <c r="C666" s="5"/>
      <c r="I666" s="5"/>
      <c r="L666" s="5"/>
      <c r="M666" s="5"/>
      <c r="N666" s="5"/>
      <c r="P666" s="5"/>
      <c r="Q666" s="5"/>
      <c r="R666" s="5"/>
      <c r="S666" s="5"/>
      <c r="U666" s="5"/>
      <c r="W666" s="5"/>
    </row>
    <row r="667" spans="3:23" x14ac:dyDescent="0.2">
      <c r="C667" s="5"/>
      <c r="I667" s="5"/>
      <c r="L667" s="5"/>
      <c r="M667" s="5"/>
      <c r="N667" s="5"/>
      <c r="P667" s="5"/>
      <c r="Q667" s="5"/>
      <c r="R667" s="5"/>
      <c r="S667" s="5"/>
      <c r="U667" s="5"/>
      <c r="W667" s="5"/>
    </row>
    <row r="668" spans="3:23" x14ac:dyDescent="0.2">
      <c r="C668" s="5"/>
      <c r="I668" s="5"/>
      <c r="L668" s="5"/>
      <c r="M668" s="5"/>
      <c r="N668" s="5"/>
      <c r="P668" s="5"/>
      <c r="Q668" s="5"/>
      <c r="R668" s="5"/>
      <c r="S668" s="5"/>
      <c r="U668" s="5"/>
      <c r="W668" s="5"/>
    </row>
    <row r="669" spans="3:23" x14ac:dyDescent="0.2">
      <c r="C669" s="5"/>
      <c r="I669" s="5"/>
      <c r="L669" s="5"/>
      <c r="M669" s="5"/>
      <c r="N669" s="5"/>
      <c r="P669" s="5"/>
      <c r="Q669" s="5"/>
      <c r="R669" s="5"/>
      <c r="S669" s="5"/>
      <c r="U669" s="5"/>
      <c r="W669" s="5"/>
    </row>
    <row r="670" spans="3:23" x14ac:dyDescent="0.2">
      <c r="C670" s="5"/>
      <c r="I670" s="5"/>
      <c r="L670" s="5"/>
      <c r="M670" s="5"/>
      <c r="N670" s="5"/>
      <c r="P670" s="5"/>
      <c r="Q670" s="5"/>
      <c r="R670" s="5"/>
      <c r="S670" s="5"/>
      <c r="U670" s="5"/>
      <c r="W670" s="5"/>
    </row>
    <row r="671" spans="3:23" x14ac:dyDescent="0.2">
      <c r="C671" s="5"/>
      <c r="I671" s="5"/>
      <c r="L671" s="5"/>
      <c r="M671" s="5"/>
      <c r="N671" s="5"/>
      <c r="P671" s="5"/>
      <c r="Q671" s="5"/>
      <c r="R671" s="5"/>
      <c r="S671" s="5"/>
      <c r="U671" s="5"/>
      <c r="W671" s="5"/>
    </row>
    <row r="672" spans="3:23" x14ac:dyDescent="0.2">
      <c r="C672" s="5"/>
      <c r="I672" s="5"/>
      <c r="L672" s="5"/>
      <c r="M672" s="5"/>
      <c r="N672" s="5"/>
      <c r="P672" s="5"/>
      <c r="Q672" s="5"/>
      <c r="R672" s="5"/>
      <c r="S672" s="5"/>
      <c r="U672" s="5"/>
      <c r="W672" s="5"/>
    </row>
    <row r="673" spans="3:23" x14ac:dyDescent="0.2">
      <c r="C673" s="5"/>
      <c r="I673" s="5"/>
      <c r="L673" s="5"/>
      <c r="M673" s="5"/>
      <c r="N673" s="5"/>
      <c r="P673" s="5"/>
      <c r="Q673" s="5"/>
      <c r="R673" s="5"/>
      <c r="S673" s="5"/>
      <c r="U673" s="5"/>
      <c r="W673" s="5"/>
    </row>
    <row r="674" spans="3:23" x14ac:dyDescent="0.2">
      <c r="C674" s="5"/>
      <c r="I674" s="5"/>
      <c r="L674" s="5"/>
      <c r="M674" s="5"/>
      <c r="N674" s="5"/>
      <c r="P674" s="5"/>
      <c r="Q674" s="5"/>
      <c r="R674" s="5"/>
      <c r="S674" s="5"/>
      <c r="U674" s="5"/>
      <c r="W674" s="5"/>
    </row>
    <row r="675" spans="3:23" x14ac:dyDescent="0.2">
      <c r="C675" s="5"/>
      <c r="I675" s="5"/>
      <c r="L675" s="5"/>
      <c r="M675" s="5"/>
      <c r="N675" s="5"/>
      <c r="P675" s="5"/>
      <c r="Q675" s="5"/>
      <c r="R675" s="5"/>
      <c r="S675" s="5"/>
      <c r="U675" s="5"/>
      <c r="W675" s="5"/>
    </row>
    <row r="676" spans="3:23" x14ac:dyDescent="0.2">
      <c r="C676" s="5"/>
      <c r="I676" s="5"/>
      <c r="L676" s="5"/>
      <c r="M676" s="5"/>
      <c r="N676" s="5"/>
      <c r="P676" s="5"/>
      <c r="Q676" s="5"/>
      <c r="R676" s="5"/>
      <c r="S676" s="5"/>
      <c r="U676" s="5"/>
      <c r="W676" s="5"/>
    </row>
    <row r="677" spans="3:23" x14ac:dyDescent="0.2">
      <c r="C677" s="5"/>
      <c r="I677" s="5"/>
      <c r="L677" s="5"/>
      <c r="M677" s="5"/>
      <c r="N677" s="5"/>
      <c r="P677" s="5"/>
      <c r="Q677" s="5"/>
      <c r="R677" s="5"/>
      <c r="S677" s="5"/>
      <c r="U677" s="5"/>
      <c r="W677" s="5"/>
    </row>
    <row r="678" spans="3:23" ht="31.5" customHeight="1" x14ac:dyDescent="0.2">
      <c r="C678" s="5"/>
      <c r="I678" s="5"/>
      <c r="L678" s="5"/>
      <c r="M678" s="5"/>
      <c r="N678" s="5"/>
      <c r="P678" s="5"/>
      <c r="Q678" s="5"/>
      <c r="R678" s="5"/>
      <c r="S678" s="5"/>
      <c r="U678" s="5"/>
      <c r="W678" s="5"/>
    </row>
    <row r="679" spans="3:23" x14ac:dyDescent="0.2">
      <c r="C679" s="5"/>
      <c r="I679" s="5"/>
      <c r="L679" s="5"/>
      <c r="M679" s="5"/>
      <c r="N679" s="5"/>
      <c r="P679" s="5"/>
      <c r="Q679" s="5"/>
      <c r="R679" s="5"/>
      <c r="S679" s="5"/>
      <c r="U679" s="5"/>
      <c r="W679" s="5"/>
    </row>
    <row r="680" spans="3:23" x14ac:dyDescent="0.2">
      <c r="C680" s="5"/>
      <c r="I680" s="5"/>
      <c r="L680" s="5"/>
      <c r="M680" s="5"/>
      <c r="N680" s="5"/>
      <c r="P680" s="5"/>
      <c r="Q680" s="5"/>
      <c r="R680" s="5"/>
      <c r="S680" s="5"/>
      <c r="U680" s="5"/>
      <c r="W680" s="5"/>
    </row>
    <row r="681" spans="3:23" x14ac:dyDescent="0.2">
      <c r="C681" s="5"/>
      <c r="I681" s="5"/>
      <c r="L681" s="5"/>
      <c r="M681" s="5"/>
      <c r="N681" s="5"/>
      <c r="P681" s="5"/>
      <c r="Q681" s="5"/>
      <c r="R681" s="5"/>
      <c r="S681" s="5"/>
      <c r="U681" s="5"/>
      <c r="W681" s="5"/>
    </row>
    <row r="682" spans="3:23" x14ac:dyDescent="0.2">
      <c r="C682" s="5"/>
      <c r="I682" s="5"/>
      <c r="L682" s="5"/>
      <c r="M682" s="5"/>
      <c r="N682" s="5"/>
      <c r="P682" s="5"/>
      <c r="Q682" s="5"/>
      <c r="R682" s="5"/>
      <c r="S682" s="5"/>
      <c r="U682" s="5"/>
      <c r="W682" s="5"/>
    </row>
    <row r="683" spans="3:23" x14ac:dyDescent="0.2">
      <c r="C683" s="5"/>
      <c r="I683" s="5"/>
      <c r="L683" s="5"/>
      <c r="M683" s="5"/>
      <c r="N683" s="5"/>
      <c r="P683" s="5"/>
      <c r="Q683" s="5"/>
      <c r="R683" s="5"/>
      <c r="S683" s="5"/>
      <c r="U683" s="5"/>
      <c r="W683" s="5"/>
    </row>
    <row r="684" spans="3:23" x14ac:dyDescent="0.2">
      <c r="C684" s="5"/>
      <c r="I684" s="5"/>
      <c r="L684" s="5"/>
      <c r="M684" s="5"/>
      <c r="N684" s="5"/>
      <c r="P684" s="5"/>
      <c r="Q684" s="5"/>
      <c r="R684" s="5"/>
      <c r="S684" s="5"/>
      <c r="U684" s="5"/>
      <c r="W684" s="5"/>
    </row>
    <row r="685" spans="3:23" x14ac:dyDescent="0.2">
      <c r="C685" s="5"/>
      <c r="I685" s="5"/>
      <c r="L685" s="5"/>
      <c r="M685" s="5"/>
      <c r="N685" s="5"/>
      <c r="P685" s="5"/>
      <c r="Q685" s="5"/>
      <c r="R685" s="5"/>
      <c r="S685" s="5"/>
      <c r="U685" s="5"/>
      <c r="W685" s="5"/>
    </row>
    <row r="686" spans="3:23" x14ac:dyDescent="0.2">
      <c r="C686" s="5"/>
      <c r="I686" s="5"/>
      <c r="L686" s="5"/>
      <c r="M686" s="5"/>
      <c r="N686" s="5"/>
      <c r="P686" s="5"/>
      <c r="Q686" s="5"/>
      <c r="R686" s="5"/>
      <c r="S686" s="5"/>
      <c r="U686" s="5"/>
      <c r="W686" s="5"/>
    </row>
    <row r="687" spans="3:23" x14ac:dyDescent="0.2">
      <c r="C687" s="5"/>
      <c r="I687" s="5"/>
      <c r="L687" s="5"/>
      <c r="M687" s="5"/>
      <c r="N687" s="5"/>
      <c r="P687" s="5"/>
      <c r="Q687" s="5"/>
      <c r="R687" s="5"/>
      <c r="S687" s="5"/>
      <c r="U687" s="5"/>
      <c r="W687" s="5"/>
    </row>
    <row r="688" spans="3:23" x14ac:dyDescent="0.2">
      <c r="C688" s="5"/>
      <c r="I688" s="5"/>
      <c r="L688" s="5"/>
      <c r="M688" s="5"/>
      <c r="N688" s="5"/>
      <c r="P688" s="5"/>
      <c r="Q688" s="5"/>
      <c r="R688" s="5"/>
      <c r="S688" s="5"/>
      <c r="U688" s="5"/>
      <c r="W688" s="5"/>
    </row>
    <row r="689" spans="3:23" x14ac:dyDescent="0.2">
      <c r="C689" s="5"/>
      <c r="I689" s="5"/>
      <c r="L689" s="5"/>
      <c r="M689" s="5"/>
      <c r="N689" s="5"/>
      <c r="P689" s="5"/>
      <c r="Q689" s="5"/>
      <c r="R689" s="5"/>
      <c r="S689" s="5"/>
      <c r="U689" s="5"/>
      <c r="W689" s="5"/>
    </row>
    <row r="690" spans="3:23" x14ac:dyDescent="0.2">
      <c r="C690" s="5"/>
      <c r="I690" s="5"/>
      <c r="L690" s="5"/>
      <c r="M690" s="5"/>
      <c r="N690" s="5"/>
      <c r="P690" s="5"/>
      <c r="Q690" s="5"/>
      <c r="R690" s="5"/>
      <c r="S690" s="5"/>
      <c r="U690" s="5"/>
      <c r="W690" s="5"/>
    </row>
    <row r="691" spans="3:23" x14ac:dyDescent="0.2">
      <c r="C691" s="5"/>
      <c r="I691" s="5"/>
      <c r="L691" s="5"/>
      <c r="M691" s="5"/>
      <c r="N691" s="5"/>
      <c r="P691" s="5"/>
      <c r="Q691" s="5"/>
      <c r="R691" s="5"/>
      <c r="S691" s="5"/>
      <c r="U691" s="5"/>
      <c r="W691" s="5"/>
    </row>
    <row r="692" spans="3:23" x14ac:dyDescent="0.2">
      <c r="C692" s="5"/>
      <c r="I692" s="5"/>
      <c r="L692" s="5"/>
      <c r="M692" s="5"/>
      <c r="N692" s="5"/>
      <c r="P692" s="5"/>
      <c r="Q692" s="5"/>
      <c r="R692" s="5"/>
      <c r="S692" s="5"/>
      <c r="U692" s="5"/>
      <c r="W692" s="5"/>
    </row>
    <row r="693" spans="3:23" x14ac:dyDescent="0.2">
      <c r="C693" s="5"/>
      <c r="I693" s="5"/>
      <c r="L693" s="5"/>
      <c r="M693" s="5"/>
      <c r="N693" s="5"/>
      <c r="P693" s="5"/>
      <c r="Q693" s="5"/>
      <c r="R693" s="5"/>
      <c r="S693" s="5"/>
      <c r="U693" s="5"/>
      <c r="W693" s="5"/>
    </row>
    <row r="694" spans="3:23" x14ac:dyDescent="0.2">
      <c r="C694" s="5"/>
      <c r="I694" s="5"/>
      <c r="L694" s="5"/>
      <c r="M694" s="5"/>
      <c r="N694" s="5"/>
      <c r="P694" s="5"/>
      <c r="Q694" s="5"/>
      <c r="R694" s="5"/>
      <c r="S694" s="5"/>
      <c r="U694" s="5"/>
      <c r="W694" s="5"/>
    </row>
    <row r="695" spans="3:23" x14ac:dyDescent="0.2">
      <c r="C695" s="5"/>
      <c r="I695" s="5"/>
      <c r="L695" s="5"/>
      <c r="M695" s="5"/>
      <c r="N695" s="5"/>
      <c r="P695" s="5"/>
      <c r="Q695" s="5"/>
      <c r="R695" s="5"/>
      <c r="S695" s="5"/>
      <c r="U695" s="5"/>
      <c r="W695" s="5"/>
    </row>
    <row r="696" spans="3:23" x14ac:dyDescent="0.2">
      <c r="C696" s="5"/>
      <c r="I696" s="5"/>
      <c r="L696" s="5"/>
      <c r="M696" s="5"/>
      <c r="N696" s="5"/>
      <c r="P696" s="5"/>
      <c r="Q696" s="5"/>
      <c r="R696" s="5"/>
      <c r="S696" s="5"/>
      <c r="U696" s="5"/>
      <c r="W696" s="5"/>
    </row>
    <row r="697" spans="3:23" x14ac:dyDescent="0.2">
      <c r="C697" s="5"/>
      <c r="I697" s="5"/>
      <c r="L697" s="5"/>
      <c r="M697" s="5"/>
      <c r="N697" s="5"/>
      <c r="P697" s="5"/>
      <c r="Q697" s="5"/>
      <c r="R697" s="5"/>
      <c r="S697" s="5"/>
      <c r="U697" s="5"/>
      <c r="W697" s="5"/>
    </row>
    <row r="698" spans="3:23" x14ac:dyDescent="0.2">
      <c r="C698" s="5"/>
      <c r="I698" s="5"/>
      <c r="L698" s="5"/>
      <c r="M698" s="5"/>
      <c r="N698" s="5"/>
      <c r="P698" s="5"/>
      <c r="Q698" s="5"/>
      <c r="R698" s="5"/>
      <c r="S698" s="5"/>
      <c r="U698" s="5"/>
      <c r="W698" s="5"/>
    </row>
    <row r="699" spans="3:23" x14ac:dyDescent="0.2">
      <c r="C699" s="5"/>
      <c r="I699" s="5"/>
      <c r="L699" s="5"/>
      <c r="M699" s="5"/>
      <c r="N699" s="5"/>
      <c r="P699" s="5"/>
      <c r="Q699" s="5"/>
      <c r="R699" s="5"/>
      <c r="S699" s="5"/>
      <c r="U699" s="5"/>
      <c r="W699" s="5"/>
    </row>
    <row r="700" spans="3:23" x14ac:dyDescent="0.2">
      <c r="C700" s="5"/>
      <c r="I700" s="5"/>
      <c r="L700" s="5"/>
      <c r="M700" s="5"/>
      <c r="N700" s="5"/>
      <c r="P700" s="5"/>
      <c r="Q700" s="5"/>
      <c r="R700" s="5"/>
      <c r="S700" s="5"/>
      <c r="U700" s="5"/>
      <c r="W700" s="5"/>
    </row>
    <row r="701" spans="3:23" x14ac:dyDescent="0.2">
      <c r="C701" s="5"/>
      <c r="I701" s="5"/>
      <c r="L701" s="5"/>
      <c r="M701" s="5"/>
      <c r="N701" s="5"/>
      <c r="P701" s="5"/>
      <c r="Q701" s="5"/>
      <c r="R701" s="5"/>
      <c r="S701" s="5"/>
      <c r="U701" s="5"/>
      <c r="W701" s="5"/>
    </row>
    <row r="702" spans="3:23" x14ac:dyDescent="0.2">
      <c r="C702" s="5"/>
      <c r="I702" s="5"/>
      <c r="L702" s="5"/>
      <c r="M702" s="5"/>
      <c r="N702" s="5"/>
      <c r="P702" s="5"/>
      <c r="Q702" s="5"/>
      <c r="R702" s="5"/>
      <c r="S702" s="5"/>
      <c r="U702" s="5"/>
      <c r="W702" s="5"/>
    </row>
    <row r="703" spans="3:23" x14ac:dyDescent="0.2">
      <c r="C703" s="5"/>
      <c r="I703" s="5"/>
      <c r="L703" s="5"/>
      <c r="M703" s="5"/>
      <c r="N703" s="5"/>
      <c r="P703" s="5"/>
      <c r="Q703" s="5"/>
      <c r="R703" s="5"/>
      <c r="S703" s="5"/>
      <c r="U703" s="5"/>
      <c r="W703" s="5"/>
    </row>
    <row r="704" spans="3:23" x14ac:dyDescent="0.2">
      <c r="C704" s="5"/>
      <c r="I704" s="5"/>
      <c r="L704" s="5"/>
      <c r="M704" s="5"/>
      <c r="N704" s="5"/>
      <c r="P704" s="5"/>
      <c r="Q704" s="5"/>
      <c r="R704" s="5"/>
      <c r="S704" s="5"/>
      <c r="U704" s="5"/>
      <c r="W704" s="5"/>
    </row>
    <row r="705" spans="3:23" x14ac:dyDescent="0.2">
      <c r="C705" s="5"/>
      <c r="I705" s="5"/>
      <c r="L705" s="5"/>
      <c r="M705" s="5"/>
      <c r="N705" s="5"/>
      <c r="P705" s="5"/>
      <c r="Q705" s="5"/>
      <c r="R705" s="5"/>
      <c r="S705" s="5"/>
      <c r="U705" s="5"/>
      <c r="W705" s="5"/>
    </row>
    <row r="706" spans="3:23" x14ac:dyDescent="0.2">
      <c r="C706" s="5"/>
      <c r="I706" s="5"/>
      <c r="L706" s="5"/>
      <c r="M706" s="5"/>
      <c r="N706" s="5"/>
      <c r="P706" s="5"/>
      <c r="Q706" s="5"/>
      <c r="R706" s="5"/>
      <c r="S706" s="5"/>
      <c r="U706" s="5"/>
      <c r="W706" s="5"/>
    </row>
    <row r="707" spans="3:23" x14ac:dyDescent="0.2">
      <c r="C707" s="5"/>
      <c r="I707" s="5"/>
      <c r="L707" s="5"/>
      <c r="M707" s="5"/>
      <c r="N707" s="5"/>
      <c r="P707" s="5"/>
      <c r="Q707" s="5"/>
      <c r="R707" s="5"/>
      <c r="S707" s="5"/>
      <c r="U707" s="5"/>
      <c r="W707" s="5"/>
    </row>
    <row r="708" spans="3:23" x14ac:dyDescent="0.2">
      <c r="C708" s="5"/>
      <c r="I708" s="5"/>
      <c r="L708" s="5"/>
      <c r="M708" s="5"/>
      <c r="N708" s="5"/>
      <c r="P708" s="5"/>
      <c r="Q708" s="5"/>
      <c r="R708" s="5"/>
      <c r="S708" s="5"/>
      <c r="U708" s="5"/>
      <c r="W708" s="5"/>
    </row>
    <row r="709" spans="3:23" x14ac:dyDescent="0.2">
      <c r="C709" s="5"/>
      <c r="I709" s="5"/>
      <c r="L709" s="5"/>
      <c r="M709" s="5"/>
      <c r="N709" s="5"/>
      <c r="P709" s="5"/>
      <c r="Q709" s="5"/>
      <c r="R709" s="5"/>
      <c r="S709" s="5"/>
      <c r="U709" s="5"/>
      <c r="W709" s="5"/>
    </row>
    <row r="710" spans="3:23" x14ac:dyDescent="0.2">
      <c r="C710" s="5"/>
      <c r="I710" s="5"/>
      <c r="L710" s="5"/>
      <c r="M710" s="5"/>
      <c r="N710" s="5"/>
      <c r="P710" s="5"/>
      <c r="Q710" s="5"/>
      <c r="R710" s="5"/>
      <c r="S710" s="5"/>
      <c r="U710" s="5"/>
      <c r="W710" s="5"/>
    </row>
    <row r="711" spans="3:23" ht="21.75" customHeight="1" x14ac:dyDescent="0.2">
      <c r="C711" s="5"/>
      <c r="I711" s="5"/>
      <c r="L711" s="5"/>
      <c r="M711" s="5"/>
      <c r="N711" s="5"/>
      <c r="P711" s="5"/>
      <c r="Q711" s="5"/>
      <c r="R711" s="5"/>
      <c r="S711" s="5"/>
      <c r="U711" s="5"/>
      <c r="W711" s="5"/>
    </row>
    <row r="712" spans="3:23" x14ac:dyDescent="0.2">
      <c r="C712" s="5"/>
      <c r="I712" s="5"/>
      <c r="L712" s="5"/>
      <c r="M712" s="5"/>
      <c r="N712" s="5"/>
      <c r="P712" s="5"/>
      <c r="Q712" s="5"/>
      <c r="R712" s="5"/>
      <c r="S712" s="5"/>
      <c r="U712" s="5"/>
      <c r="W712" s="5"/>
    </row>
    <row r="713" spans="3:23" x14ac:dyDescent="0.2">
      <c r="C713" s="5"/>
      <c r="I713" s="5"/>
      <c r="L713" s="5"/>
      <c r="M713" s="5"/>
      <c r="N713" s="5"/>
      <c r="P713" s="5"/>
      <c r="Q713" s="5"/>
      <c r="R713" s="5"/>
      <c r="S713" s="5"/>
      <c r="U713" s="5"/>
      <c r="W713" s="5"/>
    </row>
    <row r="714" spans="3:23" x14ac:dyDescent="0.2">
      <c r="C714" s="5"/>
      <c r="I714" s="5"/>
      <c r="L714" s="5"/>
      <c r="M714" s="5"/>
      <c r="N714" s="5"/>
      <c r="P714" s="5"/>
      <c r="Q714" s="5"/>
      <c r="R714" s="5"/>
      <c r="S714" s="5"/>
      <c r="U714" s="5"/>
      <c r="W714" s="5"/>
    </row>
    <row r="715" spans="3:23" x14ac:dyDescent="0.2">
      <c r="C715" s="5"/>
      <c r="I715" s="5"/>
      <c r="L715" s="5"/>
      <c r="M715" s="5"/>
      <c r="N715" s="5"/>
      <c r="P715" s="5"/>
      <c r="Q715" s="5"/>
      <c r="R715" s="5"/>
      <c r="S715" s="5"/>
      <c r="U715" s="5"/>
      <c r="W715" s="5"/>
    </row>
    <row r="716" spans="3:23" x14ac:dyDescent="0.2">
      <c r="C716" s="5"/>
      <c r="I716" s="5"/>
      <c r="L716" s="5"/>
      <c r="M716" s="5"/>
      <c r="N716" s="5"/>
      <c r="P716" s="5"/>
      <c r="Q716" s="5"/>
      <c r="R716" s="5"/>
      <c r="S716" s="5"/>
      <c r="U716" s="5"/>
      <c r="W716" s="5"/>
    </row>
    <row r="717" spans="3:23" x14ac:dyDescent="0.2">
      <c r="C717" s="5"/>
      <c r="I717" s="5"/>
      <c r="L717" s="5"/>
      <c r="M717" s="5"/>
      <c r="N717" s="5"/>
      <c r="P717" s="5"/>
      <c r="Q717" s="5"/>
      <c r="R717" s="5"/>
      <c r="S717" s="5"/>
      <c r="U717" s="5"/>
      <c r="W717" s="5"/>
    </row>
    <row r="718" spans="3:23" x14ac:dyDescent="0.2">
      <c r="C718" s="5"/>
      <c r="I718" s="5"/>
      <c r="L718" s="5"/>
      <c r="M718" s="5"/>
      <c r="N718" s="5"/>
      <c r="P718" s="5"/>
      <c r="Q718" s="5"/>
      <c r="R718" s="5"/>
      <c r="S718" s="5"/>
      <c r="U718" s="5"/>
      <c r="W718" s="5"/>
    </row>
    <row r="719" spans="3:23" x14ac:dyDescent="0.2">
      <c r="C719" s="5"/>
      <c r="I719" s="5"/>
      <c r="L719" s="5"/>
      <c r="M719" s="5"/>
      <c r="N719" s="5"/>
      <c r="P719" s="5"/>
      <c r="Q719" s="5"/>
      <c r="R719" s="5"/>
      <c r="S719" s="5"/>
      <c r="U719" s="5"/>
      <c r="W719" s="5"/>
    </row>
    <row r="720" spans="3:23" x14ac:dyDescent="0.2">
      <c r="C720" s="5"/>
      <c r="I720" s="5"/>
      <c r="L720" s="5"/>
      <c r="M720" s="5"/>
      <c r="N720" s="5"/>
      <c r="P720" s="5"/>
      <c r="Q720" s="5"/>
      <c r="R720" s="5"/>
      <c r="S720" s="5"/>
      <c r="U720" s="5"/>
      <c r="W720" s="5"/>
    </row>
    <row r="721" spans="3:23" x14ac:dyDescent="0.2">
      <c r="C721" s="5"/>
      <c r="I721" s="5"/>
      <c r="L721" s="5"/>
      <c r="M721" s="5"/>
      <c r="N721" s="5"/>
      <c r="P721" s="5"/>
      <c r="Q721" s="5"/>
      <c r="R721" s="5"/>
      <c r="S721" s="5"/>
      <c r="U721" s="5"/>
      <c r="W721" s="5"/>
    </row>
    <row r="722" spans="3:23" x14ac:dyDescent="0.2">
      <c r="C722" s="5"/>
      <c r="I722" s="5"/>
      <c r="L722" s="5"/>
      <c r="M722" s="5"/>
      <c r="N722" s="5"/>
      <c r="P722" s="5"/>
      <c r="Q722" s="5"/>
      <c r="R722" s="5"/>
      <c r="S722" s="5"/>
      <c r="U722" s="5"/>
      <c r="W722" s="5"/>
    </row>
    <row r="723" spans="3:23" x14ac:dyDescent="0.2">
      <c r="C723" s="5"/>
      <c r="I723" s="5"/>
      <c r="L723" s="5"/>
      <c r="M723" s="5"/>
      <c r="N723" s="5"/>
      <c r="P723" s="5"/>
      <c r="Q723" s="5"/>
      <c r="R723" s="5"/>
      <c r="S723" s="5"/>
      <c r="U723" s="5"/>
      <c r="W723" s="5"/>
    </row>
    <row r="724" spans="3:23" x14ac:dyDescent="0.2">
      <c r="C724" s="5"/>
      <c r="I724" s="5"/>
      <c r="L724" s="5"/>
      <c r="M724" s="5"/>
      <c r="N724" s="5"/>
      <c r="P724" s="5"/>
      <c r="Q724" s="5"/>
      <c r="R724" s="5"/>
      <c r="S724" s="5"/>
      <c r="U724" s="5"/>
      <c r="W724" s="5"/>
    </row>
    <row r="725" spans="3:23" x14ac:dyDescent="0.2">
      <c r="C725" s="5"/>
      <c r="I725" s="5"/>
      <c r="L725" s="5"/>
      <c r="M725" s="5"/>
      <c r="N725" s="5"/>
      <c r="P725" s="5"/>
      <c r="Q725" s="5"/>
      <c r="R725" s="5"/>
      <c r="S725" s="5"/>
      <c r="U725" s="5"/>
      <c r="W725" s="5"/>
    </row>
    <row r="726" spans="3:23" x14ac:dyDescent="0.2">
      <c r="C726" s="5"/>
      <c r="I726" s="5"/>
      <c r="L726" s="5"/>
      <c r="M726" s="5"/>
      <c r="N726" s="5"/>
      <c r="P726" s="5"/>
      <c r="Q726" s="5"/>
      <c r="R726" s="5"/>
      <c r="S726" s="5"/>
      <c r="U726" s="5"/>
      <c r="W726" s="5"/>
    </row>
    <row r="727" spans="3:23" x14ac:dyDescent="0.2">
      <c r="C727" s="5"/>
      <c r="I727" s="5"/>
      <c r="L727" s="5"/>
      <c r="M727" s="5"/>
      <c r="N727" s="5"/>
      <c r="P727" s="5"/>
      <c r="Q727" s="5"/>
      <c r="R727" s="5"/>
      <c r="S727" s="5"/>
      <c r="U727" s="5"/>
      <c r="W727" s="5"/>
    </row>
    <row r="728" spans="3:23" x14ac:dyDescent="0.2">
      <c r="C728" s="5"/>
      <c r="I728" s="5"/>
      <c r="L728" s="5"/>
      <c r="M728" s="5"/>
      <c r="N728" s="5"/>
      <c r="P728" s="5"/>
      <c r="Q728" s="5"/>
      <c r="R728" s="5"/>
      <c r="S728" s="5"/>
      <c r="U728" s="5"/>
      <c r="W728" s="5"/>
    </row>
    <row r="729" spans="3:23" x14ac:dyDescent="0.2">
      <c r="C729" s="5"/>
      <c r="I729" s="5"/>
      <c r="L729" s="5"/>
      <c r="M729" s="5"/>
      <c r="N729" s="5"/>
      <c r="P729" s="5"/>
      <c r="Q729" s="5"/>
      <c r="R729" s="5"/>
      <c r="S729" s="5"/>
      <c r="U729" s="5"/>
      <c r="W729" s="5"/>
    </row>
    <row r="730" spans="3:23" x14ac:dyDescent="0.2">
      <c r="C730" s="5"/>
      <c r="I730" s="5"/>
      <c r="L730" s="5"/>
      <c r="M730" s="5"/>
      <c r="N730" s="5"/>
      <c r="P730" s="5"/>
      <c r="Q730" s="5"/>
      <c r="R730" s="5"/>
      <c r="S730" s="5"/>
      <c r="U730" s="5"/>
      <c r="W730" s="5"/>
    </row>
    <row r="731" spans="3:23" x14ac:dyDescent="0.2">
      <c r="C731" s="5"/>
      <c r="I731" s="5"/>
      <c r="L731" s="5"/>
      <c r="M731" s="5"/>
      <c r="N731" s="5"/>
      <c r="P731" s="5"/>
      <c r="Q731" s="5"/>
      <c r="R731" s="5"/>
      <c r="S731" s="5"/>
      <c r="U731" s="5"/>
      <c r="W731" s="5"/>
    </row>
    <row r="732" spans="3:23" x14ac:dyDescent="0.2">
      <c r="C732" s="5"/>
      <c r="I732" s="5"/>
      <c r="L732" s="5"/>
      <c r="M732" s="5"/>
      <c r="N732" s="5"/>
      <c r="P732" s="5"/>
      <c r="Q732" s="5"/>
      <c r="R732" s="5"/>
      <c r="S732" s="5"/>
      <c r="U732" s="5"/>
      <c r="W732" s="5"/>
    </row>
    <row r="733" spans="3:23" ht="15" customHeight="1" x14ac:dyDescent="0.2">
      <c r="C733" s="5"/>
      <c r="I733" s="5"/>
      <c r="L733" s="5"/>
      <c r="M733" s="5"/>
      <c r="N733" s="5"/>
      <c r="P733" s="5"/>
      <c r="Q733" s="5"/>
      <c r="R733" s="5"/>
      <c r="S733" s="5"/>
      <c r="U733" s="5"/>
      <c r="W733" s="5"/>
    </row>
    <row r="734" spans="3:23" x14ac:dyDescent="0.2">
      <c r="C734" s="5"/>
      <c r="I734" s="5"/>
      <c r="L734" s="5"/>
      <c r="M734" s="5"/>
      <c r="N734" s="5"/>
      <c r="P734" s="5"/>
      <c r="Q734" s="5"/>
      <c r="R734" s="5"/>
      <c r="S734" s="5"/>
      <c r="U734" s="5"/>
      <c r="W734" s="5"/>
    </row>
    <row r="735" spans="3:23" x14ac:dyDescent="0.2">
      <c r="C735" s="5"/>
      <c r="I735" s="5"/>
      <c r="L735" s="5"/>
      <c r="M735" s="5"/>
      <c r="N735" s="5"/>
      <c r="P735" s="5"/>
      <c r="Q735" s="5"/>
      <c r="R735" s="5"/>
      <c r="S735" s="5"/>
      <c r="U735" s="5"/>
      <c r="W735" s="5"/>
    </row>
    <row r="736" spans="3:23" x14ac:dyDescent="0.2">
      <c r="C736" s="5"/>
      <c r="I736" s="5"/>
      <c r="L736" s="5"/>
      <c r="M736" s="5"/>
      <c r="N736" s="5"/>
      <c r="P736" s="5"/>
      <c r="Q736" s="5"/>
      <c r="R736" s="5"/>
      <c r="S736" s="5"/>
      <c r="U736" s="5"/>
      <c r="W736" s="5"/>
    </row>
    <row r="737" spans="3:23" x14ac:dyDescent="0.2">
      <c r="C737" s="5"/>
      <c r="I737" s="5"/>
      <c r="L737" s="5"/>
      <c r="M737" s="5"/>
      <c r="N737" s="5"/>
      <c r="P737" s="5"/>
      <c r="Q737" s="5"/>
      <c r="R737" s="5"/>
      <c r="S737" s="5"/>
      <c r="U737" s="5"/>
      <c r="W737" s="5"/>
    </row>
    <row r="738" spans="3:23" x14ac:dyDescent="0.2">
      <c r="C738" s="5"/>
      <c r="I738" s="5"/>
      <c r="L738" s="5"/>
      <c r="M738" s="5"/>
      <c r="N738" s="5"/>
      <c r="P738" s="5"/>
      <c r="Q738" s="5"/>
      <c r="R738" s="5"/>
      <c r="S738" s="5"/>
      <c r="U738" s="5"/>
      <c r="W738" s="5"/>
    </row>
    <row r="739" spans="3:23" x14ac:dyDescent="0.2">
      <c r="C739" s="5"/>
      <c r="I739" s="5"/>
      <c r="L739" s="5"/>
      <c r="M739" s="5"/>
      <c r="N739" s="5"/>
      <c r="P739" s="5"/>
      <c r="Q739" s="5"/>
      <c r="R739" s="5"/>
      <c r="S739" s="5"/>
      <c r="U739" s="5"/>
      <c r="W739" s="5"/>
    </row>
    <row r="740" spans="3:23" x14ac:dyDescent="0.2">
      <c r="C740" s="5"/>
      <c r="I740" s="5"/>
      <c r="L740" s="5"/>
      <c r="M740" s="5"/>
      <c r="N740" s="5"/>
      <c r="P740" s="5"/>
      <c r="Q740" s="5"/>
      <c r="R740" s="5"/>
      <c r="S740" s="5"/>
      <c r="U740" s="5"/>
      <c r="W740" s="5"/>
    </row>
    <row r="741" spans="3:23" x14ac:dyDescent="0.2">
      <c r="C741" s="5"/>
      <c r="I741" s="5"/>
      <c r="L741" s="5"/>
      <c r="M741" s="5"/>
      <c r="N741" s="5"/>
      <c r="P741" s="5"/>
      <c r="Q741" s="5"/>
      <c r="R741" s="5"/>
      <c r="S741" s="5"/>
      <c r="U741" s="5"/>
      <c r="W741" s="5"/>
    </row>
    <row r="742" spans="3:23" x14ac:dyDescent="0.2">
      <c r="C742" s="5"/>
      <c r="I742" s="5"/>
      <c r="L742" s="5"/>
      <c r="M742" s="5"/>
      <c r="N742" s="5"/>
      <c r="P742" s="5"/>
      <c r="Q742" s="5"/>
      <c r="R742" s="5"/>
      <c r="S742" s="5"/>
      <c r="U742" s="5"/>
      <c r="W742" s="5"/>
    </row>
    <row r="743" spans="3:23" x14ac:dyDescent="0.2">
      <c r="C743" s="5"/>
      <c r="I743" s="5"/>
      <c r="L743" s="5"/>
      <c r="M743" s="5"/>
      <c r="N743" s="5"/>
      <c r="P743" s="5"/>
      <c r="Q743" s="5"/>
      <c r="R743" s="5"/>
      <c r="S743" s="5"/>
      <c r="U743" s="5"/>
      <c r="W743" s="5"/>
    </row>
    <row r="744" spans="3:23" x14ac:dyDescent="0.2">
      <c r="C744" s="5"/>
      <c r="I744" s="5"/>
      <c r="L744" s="5"/>
      <c r="M744" s="5"/>
      <c r="N744" s="5"/>
      <c r="P744" s="5"/>
      <c r="Q744" s="5"/>
      <c r="R744" s="5"/>
      <c r="S744" s="5"/>
      <c r="U744" s="5"/>
      <c r="W744" s="5"/>
    </row>
    <row r="745" spans="3:23" x14ac:dyDescent="0.2">
      <c r="C745" s="5"/>
      <c r="I745" s="5"/>
      <c r="L745" s="5"/>
      <c r="M745" s="5"/>
      <c r="N745" s="5"/>
      <c r="P745" s="5"/>
      <c r="Q745" s="5"/>
      <c r="R745" s="5"/>
      <c r="S745" s="5"/>
      <c r="U745" s="5"/>
      <c r="W745" s="5"/>
    </row>
    <row r="746" spans="3:23" x14ac:dyDescent="0.2">
      <c r="C746" s="5"/>
      <c r="I746" s="5"/>
      <c r="L746" s="5"/>
      <c r="M746" s="5"/>
      <c r="N746" s="5"/>
      <c r="P746" s="5"/>
      <c r="Q746" s="5"/>
      <c r="R746" s="5"/>
      <c r="S746" s="5"/>
      <c r="U746" s="5"/>
      <c r="W746" s="5"/>
    </row>
    <row r="747" spans="3:23" x14ac:dyDescent="0.2">
      <c r="C747" s="5"/>
      <c r="I747" s="5"/>
      <c r="L747" s="5"/>
      <c r="M747" s="5"/>
      <c r="N747" s="5"/>
      <c r="P747" s="5"/>
      <c r="Q747" s="5"/>
      <c r="R747" s="5"/>
      <c r="S747" s="5"/>
      <c r="U747" s="5"/>
      <c r="W747" s="5"/>
    </row>
    <row r="748" spans="3:23" x14ac:dyDescent="0.2">
      <c r="C748" s="5"/>
      <c r="I748" s="5"/>
      <c r="L748" s="5"/>
      <c r="M748" s="5"/>
      <c r="N748" s="5"/>
      <c r="P748" s="5"/>
      <c r="Q748" s="5"/>
      <c r="R748" s="5"/>
      <c r="S748" s="5"/>
      <c r="U748" s="5"/>
      <c r="W748" s="5"/>
    </row>
    <row r="749" spans="3:23" x14ac:dyDescent="0.2">
      <c r="C749" s="5"/>
      <c r="I749" s="5"/>
      <c r="L749" s="5"/>
      <c r="M749" s="5"/>
      <c r="N749" s="5"/>
      <c r="P749" s="5"/>
      <c r="Q749" s="5"/>
      <c r="R749" s="5"/>
      <c r="S749" s="5"/>
      <c r="U749" s="5"/>
      <c r="W749" s="5"/>
    </row>
    <row r="750" spans="3:23" x14ac:dyDescent="0.2">
      <c r="C750" s="5"/>
      <c r="I750" s="5"/>
      <c r="L750" s="5"/>
      <c r="M750" s="5"/>
      <c r="N750" s="5"/>
      <c r="P750" s="5"/>
      <c r="Q750" s="5"/>
      <c r="R750" s="5"/>
      <c r="S750" s="5"/>
      <c r="U750" s="5"/>
      <c r="W750" s="5"/>
    </row>
    <row r="751" spans="3:23" x14ac:dyDescent="0.2">
      <c r="C751" s="5"/>
      <c r="I751" s="5"/>
      <c r="L751" s="5"/>
      <c r="M751" s="5"/>
      <c r="N751" s="5"/>
      <c r="P751" s="5"/>
      <c r="Q751" s="5"/>
      <c r="R751" s="5"/>
      <c r="S751" s="5"/>
      <c r="U751" s="5"/>
      <c r="W751" s="5"/>
    </row>
    <row r="752" spans="3:23" x14ac:dyDescent="0.2">
      <c r="C752" s="5"/>
      <c r="I752" s="5"/>
      <c r="L752" s="5"/>
      <c r="M752" s="5"/>
      <c r="N752" s="5"/>
      <c r="P752" s="5"/>
      <c r="Q752" s="5"/>
      <c r="R752" s="5"/>
      <c r="S752" s="5"/>
      <c r="U752" s="5"/>
      <c r="W752" s="5"/>
    </row>
    <row r="753" spans="3:23" x14ac:dyDescent="0.2">
      <c r="C753" s="5"/>
      <c r="I753" s="5"/>
      <c r="L753" s="5"/>
      <c r="M753" s="5"/>
      <c r="N753" s="5"/>
      <c r="P753" s="5"/>
      <c r="Q753" s="5"/>
      <c r="R753" s="5"/>
      <c r="S753" s="5"/>
      <c r="U753" s="5"/>
      <c r="W753" s="5"/>
    </row>
    <row r="754" spans="3:23" x14ac:dyDescent="0.2">
      <c r="C754" s="5"/>
      <c r="I754" s="5"/>
      <c r="L754" s="5"/>
      <c r="M754" s="5"/>
      <c r="N754" s="5"/>
      <c r="P754" s="5"/>
      <c r="Q754" s="5"/>
      <c r="R754" s="5"/>
      <c r="S754" s="5"/>
      <c r="U754" s="5"/>
      <c r="W754" s="5"/>
    </row>
    <row r="755" spans="3:23" x14ac:dyDescent="0.2">
      <c r="C755" s="5"/>
      <c r="I755" s="5"/>
      <c r="L755" s="5"/>
      <c r="M755" s="5"/>
      <c r="N755" s="5"/>
      <c r="P755" s="5"/>
      <c r="Q755" s="5"/>
      <c r="R755" s="5"/>
      <c r="S755" s="5"/>
      <c r="U755" s="5"/>
      <c r="W755" s="5"/>
    </row>
    <row r="756" spans="3:23" x14ac:dyDescent="0.2">
      <c r="C756" s="5"/>
      <c r="I756" s="5"/>
      <c r="L756" s="5"/>
      <c r="M756" s="5"/>
      <c r="N756" s="5"/>
      <c r="P756" s="5"/>
      <c r="Q756" s="5"/>
      <c r="R756" s="5"/>
      <c r="S756" s="5"/>
      <c r="U756" s="5"/>
      <c r="W756" s="5"/>
    </row>
    <row r="757" spans="3:23" x14ac:dyDescent="0.2">
      <c r="C757" s="5"/>
      <c r="I757" s="5"/>
      <c r="L757" s="5"/>
      <c r="M757" s="5"/>
      <c r="N757" s="5"/>
      <c r="P757" s="5"/>
      <c r="Q757" s="5"/>
      <c r="R757" s="5"/>
      <c r="S757" s="5"/>
      <c r="U757" s="5"/>
      <c r="W757" s="5"/>
    </row>
    <row r="758" spans="3:23" x14ac:dyDescent="0.2">
      <c r="C758" s="5"/>
      <c r="I758" s="5"/>
      <c r="L758" s="5"/>
      <c r="M758" s="5"/>
      <c r="N758" s="5"/>
      <c r="P758" s="5"/>
      <c r="Q758" s="5"/>
      <c r="R758" s="5"/>
      <c r="S758" s="5"/>
      <c r="U758" s="5"/>
      <c r="W758" s="5"/>
    </row>
    <row r="759" spans="3:23" x14ac:dyDescent="0.2">
      <c r="C759" s="5"/>
      <c r="I759" s="5"/>
      <c r="L759" s="5"/>
      <c r="M759" s="5"/>
      <c r="N759" s="5"/>
      <c r="P759" s="5"/>
      <c r="Q759" s="5"/>
      <c r="R759" s="5"/>
      <c r="S759" s="5"/>
      <c r="U759" s="5"/>
      <c r="W759" s="5"/>
    </row>
    <row r="760" spans="3:23" x14ac:dyDescent="0.2">
      <c r="C760" s="5"/>
      <c r="I760" s="5"/>
      <c r="L760" s="5"/>
      <c r="M760" s="5"/>
      <c r="N760" s="5"/>
      <c r="P760" s="5"/>
      <c r="Q760" s="5"/>
      <c r="R760" s="5"/>
      <c r="S760" s="5"/>
      <c r="U760" s="5"/>
      <c r="W760" s="5"/>
    </row>
    <row r="761" spans="3:23" x14ac:dyDescent="0.2">
      <c r="C761" s="5"/>
      <c r="I761" s="5"/>
      <c r="L761" s="5"/>
      <c r="M761" s="5"/>
      <c r="N761" s="5"/>
      <c r="P761" s="5"/>
      <c r="Q761" s="5"/>
      <c r="R761" s="5"/>
      <c r="S761" s="5"/>
      <c r="U761" s="5"/>
      <c r="W761" s="5"/>
    </row>
    <row r="762" spans="3:23" x14ac:dyDescent="0.2">
      <c r="C762" s="5"/>
      <c r="I762" s="5"/>
      <c r="L762" s="5"/>
      <c r="M762" s="5"/>
      <c r="N762" s="5"/>
      <c r="P762" s="5"/>
      <c r="Q762" s="5"/>
      <c r="R762" s="5"/>
      <c r="S762" s="5"/>
      <c r="U762" s="5"/>
      <c r="W762" s="5"/>
    </row>
    <row r="763" spans="3:23" x14ac:dyDescent="0.2">
      <c r="C763" s="5"/>
      <c r="I763" s="5"/>
      <c r="L763" s="5"/>
      <c r="M763" s="5"/>
      <c r="N763" s="5"/>
      <c r="P763" s="5"/>
      <c r="Q763" s="5"/>
      <c r="R763" s="5"/>
      <c r="S763" s="5"/>
      <c r="U763" s="5"/>
      <c r="W763" s="5"/>
    </row>
    <row r="764" spans="3:23" x14ac:dyDescent="0.2">
      <c r="C764" s="5"/>
      <c r="I764" s="5"/>
      <c r="L764" s="5"/>
      <c r="M764" s="5"/>
      <c r="N764" s="5"/>
      <c r="P764" s="5"/>
      <c r="Q764" s="5"/>
      <c r="R764" s="5"/>
      <c r="S764" s="5"/>
      <c r="U764" s="5"/>
      <c r="W764" s="5"/>
    </row>
    <row r="765" spans="3:23" x14ac:dyDescent="0.2">
      <c r="C765" s="5"/>
      <c r="I765" s="5"/>
      <c r="L765" s="5"/>
      <c r="M765" s="5"/>
      <c r="N765" s="5"/>
      <c r="P765" s="5"/>
      <c r="Q765" s="5"/>
      <c r="R765" s="5"/>
      <c r="S765" s="5"/>
      <c r="U765" s="5"/>
      <c r="W765" s="5"/>
    </row>
    <row r="766" spans="3:23" x14ac:dyDescent="0.2">
      <c r="C766" s="5"/>
      <c r="I766" s="5"/>
      <c r="L766" s="5"/>
      <c r="M766" s="5"/>
      <c r="N766" s="5"/>
      <c r="P766" s="5"/>
      <c r="Q766" s="5"/>
      <c r="R766" s="5"/>
      <c r="S766" s="5"/>
      <c r="U766" s="5"/>
      <c r="W766" s="5"/>
    </row>
    <row r="767" spans="3:23" x14ac:dyDescent="0.2">
      <c r="C767" s="5"/>
      <c r="I767" s="5"/>
      <c r="L767" s="5"/>
      <c r="M767" s="5"/>
      <c r="N767" s="5"/>
      <c r="P767" s="5"/>
      <c r="Q767" s="5"/>
      <c r="R767" s="5"/>
      <c r="S767" s="5"/>
      <c r="U767" s="5"/>
      <c r="W767" s="5"/>
    </row>
    <row r="768" spans="3:23" x14ac:dyDescent="0.2">
      <c r="C768" s="5"/>
      <c r="I768" s="5"/>
      <c r="L768" s="5"/>
      <c r="M768" s="5"/>
      <c r="N768" s="5"/>
      <c r="P768" s="5"/>
      <c r="Q768" s="5"/>
      <c r="R768" s="5"/>
      <c r="S768" s="5"/>
      <c r="U768" s="5"/>
      <c r="W768" s="5"/>
    </row>
    <row r="769" spans="3:23" x14ac:dyDescent="0.2">
      <c r="C769" s="5"/>
      <c r="I769" s="5"/>
      <c r="L769" s="5"/>
      <c r="M769" s="5"/>
      <c r="N769" s="5"/>
      <c r="P769" s="5"/>
      <c r="Q769" s="5"/>
      <c r="R769" s="5"/>
      <c r="S769" s="5"/>
      <c r="U769" s="5"/>
      <c r="W769" s="5"/>
    </row>
    <row r="770" spans="3:23" x14ac:dyDescent="0.2">
      <c r="C770" s="5"/>
      <c r="I770" s="5"/>
      <c r="L770" s="5"/>
      <c r="M770" s="5"/>
      <c r="N770" s="5"/>
      <c r="P770" s="5"/>
      <c r="Q770" s="5"/>
      <c r="R770" s="5"/>
      <c r="S770" s="5"/>
      <c r="U770" s="5"/>
      <c r="W770" s="5"/>
    </row>
    <row r="771" spans="3:23" x14ac:dyDescent="0.2">
      <c r="C771" s="5"/>
      <c r="I771" s="5"/>
      <c r="L771" s="5"/>
      <c r="M771" s="5"/>
      <c r="N771" s="5"/>
      <c r="P771" s="5"/>
      <c r="Q771" s="5"/>
      <c r="R771" s="5"/>
      <c r="S771" s="5"/>
      <c r="U771" s="5"/>
      <c r="W771" s="5"/>
    </row>
    <row r="772" spans="3:23" x14ac:dyDescent="0.2">
      <c r="C772" s="5"/>
      <c r="I772" s="5"/>
      <c r="L772" s="5"/>
      <c r="M772" s="5"/>
      <c r="N772" s="5"/>
      <c r="P772" s="5"/>
      <c r="Q772" s="5"/>
      <c r="R772" s="5"/>
      <c r="S772" s="5"/>
      <c r="U772" s="5"/>
      <c r="W772" s="5"/>
    </row>
    <row r="773" spans="3:23" x14ac:dyDescent="0.2">
      <c r="C773" s="5"/>
      <c r="I773" s="5"/>
      <c r="L773" s="5"/>
      <c r="M773" s="5"/>
      <c r="N773" s="5"/>
      <c r="P773" s="5"/>
      <c r="Q773" s="5"/>
      <c r="R773" s="5"/>
      <c r="S773" s="5"/>
      <c r="U773" s="5"/>
      <c r="W773" s="5"/>
    </row>
    <row r="774" spans="3:23" x14ac:dyDescent="0.2">
      <c r="C774" s="5"/>
      <c r="I774" s="5"/>
      <c r="L774" s="5"/>
      <c r="M774" s="5"/>
      <c r="N774" s="5"/>
      <c r="P774" s="5"/>
      <c r="Q774" s="5"/>
      <c r="R774" s="5"/>
      <c r="S774" s="5"/>
      <c r="U774" s="5"/>
      <c r="W774" s="5"/>
    </row>
    <row r="775" spans="3:23" x14ac:dyDescent="0.2">
      <c r="C775" s="5"/>
      <c r="I775" s="5"/>
      <c r="L775" s="5"/>
      <c r="M775" s="5"/>
      <c r="N775" s="5"/>
      <c r="P775" s="5"/>
      <c r="Q775" s="5"/>
      <c r="R775" s="5"/>
      <c r="S775" s="5"/>
      <c r="U775" s="5"/>
      <c r="W775" s="5"/>
    </row>
    <row r="776" spans="3:23" x14ac:dyDescent="0.2">
      <c r="C776" s="5"/>
      <c r="I776" s="5"/>
      <c r="L776" s="5"/>
      <c r="M776" s="5"/>
      <c r="N776" s="5"/>
      <c r="P776" s="5"/>
      <c r="Q776" s="5"/>
      <c r="R776" s="5"/>
      <c r="S776" s="5"/>
      <c r="U776" s="5"/>
      <c r="W776" s="5"/>
    </row>
    <row r="777" spans="3:23" x14ac:dyDescent="0.2">
      <c r="C777" s="5"/>
      <c r="I777" s="5"/>
      <c r="L777" s="5"/>
      <c r="M777" s="5"/>
      <c r="N777" s="5"/>
      <c r="P777" s="5"/>
      <c r="Q777" s="5"/>
      <c r="R777" s="5"/>
      <c r="S777" s="5"/>
      <c r="U777" s="5"/>
      <c r="W777" s="5"/>
    </row>
    <row r="778" spans="3:23" x14ac:dyDescent="0.2">
      <c r="C778" s="5"/>
      <c r="I778" s="5"/>
      <c r="L778" s="5"/>
      <c r="M778" s="5"/>
      <c r="N778" s="5"/>
      <c r="P778" s="5"/>
      <c r="Q778" s="5"/>
      <c r="R778" s="5"/>
      <c r="S778" s="5"/>
      <c r="U778" s="5"/>
      <c r="W778" s="5"/>
    </row>
    <row r="779" spans="3:23" x14ac:dyDescent="0.2">
      <c r="C779" s="5"/>
      <c r="I779" s="5"/>
      <c r="L779" s="5"/>
      <c r="M779" s="5"/>
      <c r="N779" s="5"/>
      <c r="P779" s="5"/>
      <c r="Q779" s="5"/>
      <c r="R779" s="5"/>
      <c r="S779" s="5"/>
      <c r="U779" s="5"/>
      <c r="W779" s="5"/>
    </row>
    <row r="780" spans="3:23" x14ac:dyDescent="0.2">
      <c r="C780" s="5"/>
      <c r="I780" s="5"/>
      <c r="L780" s="5"/>
      <c r="M780" s="5"/>
      <c r="N780" s="5"/>
      <c r="P780" s="5"/>
      <c r="Q780" s="5"/>
      <c r="R780" s="5"/>
      <c r="S780" s="5"/>
      <c r="U780" s="5"/>
      <c r="W780" s="5"/>
    </row>
    <row r="781" spans="3:23" x14ac:dyDescent="0.2">
      <c r="C781" s="5"/>
      <c r="I781" s="5"/>
      <c r="L781" s="5"/>
      <c r="M781" s="5"/>
      <c r="N781" s="5"/>
      <c r="P781" s="5"/>
      <c r="Q781" s="5"/>
      <c r="R781" s="5"/>
      <c r="S781" s="5"/>
      <c r="U781" s="5"/>
      <c r="W781" s="5"/>
    </row>
    <row r="782" spans="3:23" x14ac:dyDescent="0.2">
      <c r="C782" s="5"/>
      <c r="I782" s="5"/>
      <c r="L782" s="5"/>
      <c r="M782" s="5"/>
      <c r="N782" s="5"/>
      <c r="P782" s="5"/>
      <c r="Q782" s="5"/>
      <c r="R782" s="5"/>
      <c r="S782" s="5"/>
      <c r="U782" s="5"/>
      <c r="W782" s="5"/>
    </row>
    <row r="783" spans="3:23" x14ac:dyDescent="0.2">
      <c r="C783" s="5"/>
      <c r="I783" s="5"/>
      <c r="L783" s="5"/>
      <c r="M783" s="5"/>
      <c r="N783" s="5"/>
      <c r="P783" s="5"/>
      <c r="Q783" s="5"/>
      <c r="R783" s="5"/>
      <c r="S783" s="5"/>
      <c r="U783" s="5"/>
      <c r="W783" s="5"/>
    </row>
    <row r="784" spans="3:23" x14ac:dyDescent="0.2">
      <c r="C784" s="5"/>
      <c r="I784" s="5"/>
      <c r="L784" s="5"/>
      <c r="M784" s="5"/>
      <c r="N784" s="5"/>
      <c r="P784" s="5"/>
      <c r="Q784" s="5"/>
      <c r="R784" s="5"/>
      <c r="S784" s="5"/>
      <c r="U784" s="5"/>
      <c r="W784" s="5"/>
    </row>
    <row r="785" spans="3:23" x14ac:dyDescent="0.2">
      <c r="C785" s="5"/>
      <c r="I785" s="5"/>
      <c r="L785" s="5"/>
      <c r="M785" s="5"/>
      <c r="N785" s="5"/>
      <c r="P785" s="5"/>
      <c r="Q785" s="5"/>
      <c r="R785" s="5"/>
      <c r="S785" s="5"/>
      <c r="U785" s="5"/>
      <c r="W785" s="5"/>
    </row>
    <row r="786" spans="3:23" x14ac:dyDescent="0.2">
      <c r="C786" s="5"/>
      <c r="I786" s="5"/>
      <c r="L786" s="5"/>
      <c r="M786" s="5"/>
      <c r="N786" s="5"/>
      <c r="P786" s="5"/>
      <c r="Q786" s="5"/>
      <c r="R786" s="5"/>
      <c r="S786" s="5"/>
      <c r="U786" s="5"/>
      <c r="W786" s="5"/>
    </row>
    <row r="787" spans="3:23" x14ac:dyDescent="0.2">
      <c r="C787" s="5"/>
      <c r="I787" s="5"/>
      <c r="L787" s="5"/>
      <c r="M787" s="5"/>
      <c r="N787" s="5"/>
      <c r="P787" s="5"/>
      <c r="Q787" s="5"/>
      <c r="R787" s="5"/>
      <c r="S787" s="5"/>
      <c r="U787" s="5"/>
      <c r="W787" s="5"/>
    </row>
    <row r="788" spans="3:23" x14ac:dyDescent="0.2">
      <c r="C788" s="5"/>
      <c r="I788" s="5"/>
      <c r="L788" s="5"/>
      <c r="M788" s="5"/>
      <c r="N788" s="5"/>
      <c r="P788" s="5"/>
      <c r="Q788" s="5"/>
      <c r="R788" s="5"/>
      <c r="S788" s="5"/>
      <c r="U788" s="5"/>
      <c r="W788" s="5"/>
    </row>
    <row r="789" spans="3:23" x14ac:dyDescent="0.2">
      <c r="C789" s="5"/>
      <c r="I789" s="5"/>
      <c r="L789" s="5"/>
      <c r="M789" s="5"/>
      <c r="N789" s="5"/>
      <c r="P789" s="5"/>
      <c r="Q789" s="5"/>
      <c r="R789" s="5"/>
      <c r="S789" s="5"/>
      <c r="U789" s="5"/>
      <c r="W789" s="5"/>
    </row>
    <row r="790" spans="3:23" x14ac:dyDescent="0.2">
      <c r="C790" s="5"/>
      <c r="I790" s="5"/>
      <c r="L790" s="5"/>
      <c r="M790" s="5"/>
      <c r="N790" s="5"/>
      <c r="P790" s="5"/>
      <c r="Q790" s="5"/>
      <c r="R790" s="5"/>
      <c r="S790" s="5"/>
      <c r="U790" s="5"/>
      <c r="W790" s="5"/>
    </row>
    <row r="791" spans="3:23" x14ac:dyDescent="0.2">
      <c r="C791" s="5"/>
      <c r="I791" s="5"/>
      <c r="L791" s="5"/>
      <c r="M791" s="5"/>
      <c r="N791" s="5"/>
      <c r="P791" s="5"/>
      <c r="Q791" s="5"/>
      <c r="R791" s="5"/>
      <c r="S791" s="5"/>
      <c r="U791" s="5"/>
      <c r="W791" s="5"/>
    </row>
    <row r="792" spans="3:23" x14ac:dyDescent="0.2">
      <c r="C792" s="5"/>
      <c r="I792" s="5"/>
      <c r="L792" s="5"/>
      <c r="M792" s="5"/>
      <c r="N792" s="5"/>
      <c r="P792" s="5"/>
      <c r="Q792" s="5"/>
      <c r="R792" s="5"/>
      <c r="S792" s="5"/>
      <c r="U792" s="5"/>
      <c r="W792" s="5"/>
    </row>
    <row r="793" spans="3:23" x14ac:dyDescent="0.2">
      <c r="C793" s="5"/>
      <c r="I793" s="5"/>
      <c r="L793" s="5"/>
      <c r="M793" s="5"/>
      <c r="N793" s="5"/>
      <c r="P793" s="5"/>
      <c r="Q793" s="5"/>
      <c r="R793" s="5"/>
      <c r="S793" s="5"/>
      <c r="U793" s="5"/>
      <c r="W793" s="5"/>
    </row>
    <row r="794" spans="3:23" x14ac:dyDescent="0.2">
      <c r="C794" s="5"/>
      <c r="I794" s="5"/>
      <c r="L794" s="5"/>
      <c r="M794" s="5"/>
      <c r="N794" s="5"/>
      <c r="P794" s="5"/>
      <c r="Q794" s="5"/>
      <c r="R794" s="5"/>
      <c r="S794" s="5"/>
      <c r="U794" s="5"/>
      <c r="W794" s="5"/>
    </row>
    <row r="795" spans="3:23" x14ac:dyDescent="0.2">
      <c r="C795" s="5"/>
      <c r="I795" s="5"/>
      <c r="L795" s="5"/>
      <c r="M795" s="5"/>
      <c r="N795" s="5"/>
      <c r="P795" s="5"/>
      <c r="Q795" s="5"/>
      <c r="R795" s="5"/>
      <c r="S795" s="5"/>
      <c r="U795" s="5"/>
      <c r="W795" s="5"/>
    </row>
    <row r="796" spans="3:23" x14ac:dyDescent="0.2">
      <c r="C796" s="5"/>
      <c r="I796" s="5"/>
      <c r="L796" s="5"/>
      <c r="M796" s="5"/>
      <c r="N796" s="5"/>
      <c r="P796" s="5"/>
      <c r="Q796" s="5"/>
      <c r="R796" s="5"/>
      <c r="S796" s="5"/>
      <c r="U796" s="5"/>
      <c r="W796" s="5"/>
    </row>
    <row r="797" spans="3:23" x14ac:dyDescent="0.2">
      <c r="C797" s="5"/>
      <c r="I797" s="5"/>
      <c r="L797" s="5"/>
      <c r="M797" s="5"/>
      <c r="N797" s="5"/>
      <c r="P797" s="5"/>
      <c r="Q797" s="5"/>
      <c r="R797" s="5"/>
      <c r="S797" s="5"/>
      <c r="U797" s="5"/>
      <c r="W797" s="5"/>
    </row>
    <row r="798" spans="3:23" x14ac:dyDescent="0.2">
      <c r="C798" s="5"/>
      <c r="I798" s="5"/>
      <c r="L798" s="5"/>
      <c r="M798" s="5"/>
      <c r="N798" s="5"/>
      <c r="P798" s="5"/>
      <c r="Q798" s="5"/>
      <c r="R798" s="5"/>
      <c r="S798" s="5"/>
      <c r="U798" s="5"/>
      <c r="W798" s="5"/>
    </row>
    <row r="799" spans="3:23" x14ac:dyDescent="0.2">
      <c r="C799" s="5"/>
      <c r="I799" s="5"/>
      <c r="L799" s="5"/>
      <c r="M799" s="5"/>
      <c r="N799" s="5"/>
      <c r="P799" s="5"/>
      <c r="Q799" s="5"/>
      <c r="R799" s="5"/>
      <c r="S799" s="5"/>
      <c r="U799" s="5"/>
      <c r="W799" s="5"/>
    </row>
    <row r="800" spans="3:23" x14ac:dyDescent="0.2">
      <c r="C800" s="5"/>
      <c r="I800" s="5"/>
      <c r="L800" s="5"/>
      <c r="M800" s="5"/>
      <c r="N800" s="5"/>
      <c r="P800" s="5"/>
      <c r="Q800" s="5"/>
      <c r="R800" s="5"/>
      <c r="S800" s="5"/>
      <c r="U800" s="5"/>
      <c r="W800" s="5"/>
    </row>
    <row r="801" spans="3:23" x14ac:dyDescent="0.2">
      <c r="C801" s="5"/>
      <c r="I801" s="5"/>
      <c r="L801" s="5"/>
      <c r="M801" s="5"/>
      <c r="N801" s="5"/>
      <c r="P801" s="5"/>
      <c r="Q801" s="5"/>
      <c r="R801" s="5"/>
      <c r="S801" s="5"/>
      <c r="U801" s="5"/>
      <c r="W801" s="5"/>
    </row>
    <row r="802" spans="3:23" x14ac:dyDescent="0.2">
      <c r="C802" s="5"/>
      <c r="I802" s="5"/>
      <c r="L802" s="5"/>
      <c r="M802" s="5"/>
      <c r="N802" s="5"/>
      <c r="P802" s="5"/>
      <c r="Q802" s="5"/>
      <c r="R802" s="5"/>
      <c r="S802" s="5"/>
      <c r="U802" s="5"/>
      <c r="W802" s="5"/>
    </row>
    <row r="803" spans="3:23" x14ac:dyDescent="0.2">
      <c r="C803" s="5"/>
      <c r="I803" s="5"/>
      <c r="L803" s="5"/>
      <c r="M803" s="5"/>
      <c r="N803" s="5"/>
      <c r="P803" s="5"/>
      <c r="Q803" s="5"/>
      <c r="R803" s="5"/>
      <c r="S803" s="5"/>
      <c r="U803" s="5"/>
      <c r="W803" s="5"/>
    </row>
    <row r="804" spans="3:23" x14ac:dyDescent="0.2">
      <c r="C804" s="5"/>
      <c r="I804" s="5"/>
      <c r="L804" s="5"/>
      <c r="M804" s="5"/>
      <c r="N804" s="5"/>
      <c r="P804" s="5"/>
      <c r="Q804" s="5"/>
      <c r="R804" s="5"/>
      <c r="S804" s="5"/>
      <c r="U804" s="5"/>
      <c r="W804" s="5"/>
    </row>
    <row r="805" spans="3:23" x14ac:dyDescent="0.2">
      <c r="C805" s="5"/>
      <c r="I805" s="5"/>
      <c r="L805" s="5"/>
      <c r="M805" s="5"/>
      <c r="N805" s="5"/>
      <c r="P805" s="5"/>
      <c r="Q805" s="5"/>
      <c r="R805" s="5"/>
      <c r="S805" s="5"/>
      <c r="U805" s="5"/>
      <c r="W805" s="5"/>
    </row>
    <row r="806" spans="3:23" x14ac:dyDescent="0.2">
      <c r="C806" s="5"/>
      <c r="I806" s="5"/>
      <c r="L806" s="5"/>
      <c r="M806" s="5"/>
      <c r="N806" s="5"/>
      <c r="P806" s="5"/>
      <c r="Q806" s="5"/>
      <c r="R806" s="5"/>
      <c r="S806" s="5"/>
      <c r="U806" s="5"/>
      <c r="W806" s="5"/>
    </row>
    <row r="807" spans="3:23" x14ac:dyDescent="0.2">
      <c r="C807" s="5"/>
      <c r="I807" s="5"/>
      <c r="L807" s="5"/>
      <c r="M807" s="5"/>
      <c r="N807" s="5"/>
      <c r="P807" s="5"/>
      <c r="Q807" s="5"/>
      <c r="R807" s="5"/>
      <c r="S807" s="5"/>
      <c r="U807" s="5"/>
      <c r="W807" s="5"/>
    </row>
    <row r="808" spans="3:23" x14ac:dyDescent="0.2">
      <c r="C808" s="5"/>
      <c r="I808" s="5"/>
      <c r="L808" s="5"/>
      <c r="M808" s="5"/>
      <c r="N808" s="5"/>
      <c r="P808" s="5"/>
      <c r="Q808" s="5"/>
      <c r="R808" s="5"/>
      <c r="S808" s="5"/>
      <c r="U808" s="5"/>
      <c r="W808" s="5"/>
    </row>
    <row r="809" spans="3:23" x14ac:dyDescent="0.2">
      <c r="C809" s="5"/>
      <c r="I809" s="5"/>
      <c r="L809" s="5"/>
      <c r="M809" s="5"/>
      <c r="N809" s="5"/>
      <c r="P809" s="5"/>
      <c r="Q809" s="5"/>
      <c r="R809" s="5"/>
      <c r="S809" s="5"/>
      <c r="U809" s="5"/>
      <c r="W809" s="5"/>
    </row>
    <row r="810" spans="3:23" x14ac:dyDescent="0.2">
      <c r="C810" s="5"/>
      <c r="I810" s="5"/>
      <c r="L810" s="5"/>
      <c r="M810" s="5"/>
      <c r="N810" s="5"/>
      <c r="P810" s="5"/>
      <c r="Q810" s="5"/>
      <c r="R810" s="5"/>
      <c r="S810" s="5"/>
      <c r="U810" s="5"/>
      <c r="W810" s="5"/>
    </row>
    <row r="811" spans="3:23" x14ac:dyDescent="0.2">
      <c r="C811" s="5"/>
      <c r="I811" s="5"/>
      <c r="L811" s="5"/>
      <c r="M811" s="5"/>
      <c r="N811" s="5"/>
      <c r="P811" s="5"/>
      <c r="Q811" s="5"/>
      <c r="R811" s="5"/>
      <c r="S811" s="5"/>
      <c r="U811" s="5"/>
      <c r="W811" s="5"/>
    </row>
    <row r="812" spans="3:23" x14ac:dyDescent="0.2">
      <c r="C812" s="5"/>
      <c r="I812" s="5"/>
      <c r="L812" s="5"/>
      <c r="M812" s="5"/>
      <c r="N812" s="5"/>
      <c r="P812" s="5"/>
      <c r="Q812" s="5"/>
      <c r="R812" s="5"/>
      <c r="S812" s="5"/>
      <c r="U812" s="5"/>
      <c r="W812" s="5"/>
    </row>
    <row r="813" spans="3:23" x14ac:dyDescent="0.2">
      <c r="C813" s="5"/>
      <c r="I813" s="5"/>
      <c r="L813" s="5"/>
      <c r="M813" s="5"/>
      <c r="N813" s="5"/>
      <c r="P813" s="5"/>
      <c r="Q813" s="5"/>
      <c r="R813" s="5"/>
      <c r="S813" s="5"/>
      <c r="U813" s="5"/>
      <c r="W813" s="5"/>
    </row>
    <row r="814" spans="3:23" x14ac:dyDescent="0.2">
      <c r="C814" s="5"/>
      <c r="I814" s="5"/>
      <c r="L814" s="5"/>
      <c r="M814" s="5"/>
      <c r="N814" s="5"/>
      <c r="P814" s="5"/>
      <c r="Q814" s="5"/>
      <c r="R814" s="5"/>
      <c r="S814" s="5"/>
      <c r="U814" s="5"/>
      <c r="W814" s="5"/>
    </row>
    <row r="815" spans="3:23" x14ac:dyDescent="0.2">
      <c r="C815" s="5"/>
      <c r="I815" s="5"/>
      <c r="L815" s="5"/>
      <c r="M815" s="5"/>
      <c r="N815" s="5"/>
      <c r="P815" s="5"/>
      <c r="Q815" s="5"/>
      <c r="R815" s="5"/>
      <c r="S815" s="5"/>
      <c r="U815" s="5"/>
      <c r="W815" s="5"/>
    </row>
    <row r="816" spans="3:23" x14ac:dyDescent="0.2">
      <c r="C816" s="5"/>
      <c r="I816" s="5"/>
      <c r="L816" s="5"/>
      <c r="M816" s="5"/>
      <c r="N816" s="5"/>
      <c r="P816" s="5"/>
      <c r="Q816" s="5"/>
      <c r="R816" s="5"/>
      <c r="S816" s="5"/>
      <c r="U816" s="5"/>
      <c r="W816" s="5"/>
    </row>
    <row r="817" spans="3:23" x14ac:dyDescent="0.2">
      <c r="C817" s="5"/>
      <c r="I817" s="5"/>
      <c r="L817" s="5"/>
      <c r="M817" s="5"/>
      <c r="N817" s="5"/>
      <c r="P817" s="5"/>
      <c r="Q817" s="5"/>
      <c r="R817" s="5"/>
      <c r="S817" s="5"/>
      <c r="U817" s="5"/>
      <c r="W817" s="5"/>
    </row>
    <row r="818" spans="3:23" x14ac:dyDescent="0.2">
      <c r="C818" s="5"/>
      <c r="I818" s="5"/>
      <c r="L818" s="5"/>
      <c r="M818" s="5"/>
      <c r="N818" s="5"/>
      <c r="P818" s="5"/>
      <c r="Q818" s="5"/>
      <c r="R818" s="5"/>
      <c r="S818" s="5"/>
      <c r="U818" s="5"/>
      <c r="W818" s="5"/>
    </row>
    <row r="819" spans="3:23" x14ac:dyDescent="0.2">
      <c r="C819" s="5"/>
      <c r="I819" s="5"/>
      <c r="L819" s="5"/>
      <c r="M819" s="5"/>
      <c r="N819" s="5"/>
      <c r="P819" s="5"/>
      <c r="Q819" s="5"/>
      <c r="R819" s="5"/>
      <c r="S819" s="5"/>
      <c r="U819" s="5"/>
      <c r="W819" s="5"/>
    </row>
    <row r="820" spans="3:23" x14ac:dyDescent="0.2">
      <c r="C820" s="5"/>
      <c r="I820" s="5"/>
      <c r="L820" s="5"/>
      <c r="M820" s="5"/>
      <c r="N820" s="5"/>
      <c r="P820" s="5"/>
      <c r="Q820" s="5"/>
      <c r="R820" s="5"/>
      <c r="S820" s="5"/>
      <c r="U820" s="5"/>
      <c r="W820" s="5"/>
    </row>
    <row r="821" spans="3:23" x14ac:dyDescent="0.2">
      <c r="C821" s="5"/>
      <c r="I821" s="5"/>
      <c r="L821" s="5"/>
      <c r="M821" s="5"/>
      <c r="N821" s="5"/>
      <c r="P821" s="5"/>
      <c r="Q821" s="5"/>
      <c r="R821" s="5"/>
      <c r="S821" s="5"/>
      <c r="U821" s="5"/>
      <c r="W821" s="5"/>
    </row>
    <row r="822" spans="3:23" x14ac:dyDescent="0.2">
      <c r="C822" s="5"/>
      <c r="I822" s="5"/>
      <c r="L822" s="5"/>
      <c r="M822" s="5"/>
      <c r="N822" s="5"/>
      <c r="P822" s="5"/>
      <c r="Q822" s="5"/>
      <c r="R822" s="5"/>
      <c r="S822" s="5"/>
      <c r="U822" s="5"/>
      <c r="W822" s="5"/>
    </row>
    <row r="823" spans="3:23" x14ac:dyDescent="0.2">
      <c r="C823" s="5"/>
      <c r="I823" s="5"/>
      <c r="L823" s="5"/>
      <c r="M823" s="5"/>
      <c r="N823" s="5"/>
      <c r="P823" s="5"/>
      <c r="Q823" s="5"/>
      <c r="R823" s="5"/>
      <c r="S823" s="5"/>
      <c r="U823" s="5"/>
      <c r="W823" s="5"/>
    </row>
    <row r="824" spans="3:23" x14ac:dyDescent="0.2">
      <c r="C824" s="5"/>
      <c r="I824" s="5"/>
      <c r="L824" s="5"/>
      <c r="M824" s="5"/>
      <c r="N824" s="5"/>
      <c r="P824" s="5"/>
      <c r="Q824" s="5"/>
      <c r="R824" s="5"/>
      <c r="S824" s="5"/>
      <c r="U824" s="5"/>
      <c r="W824" s="5"/>
    </row>
    <row r="825" spans="3:23" x14ac:dyDescent="0.2">
      <c r="C825" s="5"/>
      <c r="I825" s="5"/>
      <c r="L825" s="5"/>
      <c r="M825" s="5"/>
      <c r="N825" s="5"/>
      <c r="P825" s="5"/>
      <c r="Q825" s="5"/>
      <c r="R825" s="5"/>
      <c r="S825" s="5"/>
      <c r="U825" s="5"/>
      <c r="W825" s="5"/>
    </row>
    <row r="826" spans="3:23" x14ac:dyDescent="0.2">
      <c r="C826" s="5"/>
      <c r="I826" s="5"/>
      <c r="L826" s="5"/>
      <c r="M826" s="5"/>
      <c r="N826" s="5"/>
      <c r="P826" s="5"/>
      <c r="Q826" s="5"/>
      <c r="R826" s="5"/>
      <c r="S826" s="5"/>
      <c r="U826" s="5"/>
      <c r="W826" s="5"/>
    </row>
    <row r="827" spans="3:23" x14ac:dyDescent="0.2">
      <c r="C827" s="5"/>
      <c r="I827" s="5"/>
      <c r="L827" s="5"/>
      <c r="M827" s="5"/>
      <c r="N827" s="5"/>
      <c r="P827" s="5"/>
      <c r="Q827" s="5"/>
      <c r="R827" s="5"/>
      <c r="S827" s="5"/>
      <c r="U827" s="5"/>
      <c r="W827" s="5"/>
    </row>
    <row r="828" spans="3:23" x14ac:dyDescent="0.2">
      <c r="C828" s="5"/>
      <c r="I828" s="5"/>
      <c r="L828" s="5"/>
      <c r="M828" s="5"/>
      <c r="N828" s="5"/>
      <c r="P828" s="5"/>
      <c r="Q828" s="5"/>
      <c r="R828" s="5"/>
      <c r="S828" s="5"/>
      <c r="U828" s="5"/>
      <c r="W828" s="5"/>
    </row>
    <row r="829" spans="3:23" x14ac:dyDescent="0.2">
      <c r="C829" s="5"/>
      <c r="I829" s="5"/>
      <c r="L829" s="5"/>
      <c r="M829" s="5"/>
      <c r="N829" s="5"/>
      <c r="P829" s="5"/>
      <c r="Q829" s="5"/>
      <c r="R829" s="5"/>
      <c r="S829" s="5"/>
      <c r="U829" s="5"/>
      <c r="W829" s="5"/>
    </row>
    <row r="830" spans="3:23" x14ac:dyDescent="0.2">
      <c r="C830" s="5"/>
      <c r="I830" s="5"/>
      <c r="L830" s="5"/>
      <c r="M830" s="5"/>
      <c r="N830" s="5"/>
      <c r="P830" s="5"/>
      <c r="Q830" s="5"/>
      <c r="R830" s="5"/>
      <c r="S830" s="5"/>
      <c r="U830" s="5"/>
      <c r="W830" s="5"/>
    </row>
    <row r="831" spans="3:23" x14ac:dyDescent="0.2">
      <c r="C831" s="5"/>
      <c r="I831" s="5"/>
      <c r="L831" s="5"/>
      <c r="M831" s="5"/>
      <c r="N831" s="5"/>
      <c r="P831" s="5"/>
      <c r="Q831" s="5"/>
      <c r="R831" s="5"/>
      <c r="S831" s="5"/>
      <c r="U831" s="5"/>
      <c r="W831" s="5"/>
    </row>
    <row r="832" spans="3:23" x14ac:dyDescent="0.2">
      <c r="C832" s="5"/>
      <c r="I832" s="5"/>
      <c r="L832" s="5"/>
      <c r="M832" s="5"/>
      <c r="N832" s="5"/>
      <c r="P832" s="5"/>
      <c r="Q832" s="5"/>
      <c r="R832" s="5"/>
      <c r="S832" s="5"/>
      <c r="U832" s="5"/>
      <c r="W832" s="5"/>
    </row>
    <row r="833" spans="3:23" x14ac:dyDescent="0.2">
      <c r="C833" s="5"/>
      <c r="I833" s="5"/>
      <c r="L833" s="5"/>
      <c r="M833" s="5"/>
      <c r="N833" s="5"/>
      <c r="P833" s="5"/>
      <c r="Q833" s="5"/>
      <c r="R833" s="5"/>
      <c r="S833" s="5"/>
      <c r="U833" s="5"/>
      <c r="W833" s="5"/>
    </row>
    <row r="834" spans="3:23" x14ac:dyDescent="0.2">
      <c r="C834" s="5"/>
      <c r="I834" s="5"/>
      <c r="L834" s="5"/>
      <c r="M834" s="5"/>
      <c r="N834" s="5"/>
      <c r="P834" s="5"/>
      <c r="Q834" s="5"/>
      <c r="R834" s="5"/>
      <c r="S834" s="5"/>
      <c r="U834" s="5"/>
      <c r="W834" s="5"/>
    </row>
    <row r="835" spans="3:23" x14ac:dyDescent="0.2">
      <c r="C835" s="5"/>
      <c r="I835" s="5"/>
      <c r="L835" s="5"/>
      <c r="M835" s="5"/>
      <c r="N835" s="5"/>
      <c r="P835" s="5"/>
      <c r="Q835" s="5"/>
      <c r="R835" s="5"/>
      <c r="S835" s="5"/>
      <c r="U835" s="5"/>
      <c r="W835" s="5"/>
    </row>
    <row r="836" spans="3:23" x14ac:dyDescent="0.2">
      <c r="C836" s="5"/>
      <c r="I836" s="5"/>
      <c r="L836" s="5"/>
      <c r="M836" s="5"/>
      <c r="N836" s="5"/>
      <c r="P836" s="5"/>
      <c r="Q836" s="5"/>
      <c r="R836" s="5"/>
      <c r="S836" s="5"/>
      <c r="U836" s="5"/>
      <c r="W836" s="5"/>
    </row>
    <row r="837" spans="3:23" x14ac:dyDescent="0.2">
      <c r="C837" s="5"/>
      <c r="I837" s="5"/>
      <c r="L837" s="5"/>
      <c r="M837" s="5"/>
      <c r="N837" s="5"/>
      <c r="P837" s="5"/>
      <c r="Q837" s="5"/>
      <c r="R837" s="5"/>
      <c r="S837" s="5"/>
      <c r="U837" s="5"/>
      <c r="W837" s="5"/>
    </row>
    <row r="838" spans="3:23" x14ac:dyDescent="0.2">
      <c r="C838" s="5"/>
      <c r="I838" s="5"/>
      <c r="L838" s="5"/>
      <c r="M838" s="5"/>
      <c r="N838" s="5"/>
      <c r="P838" s="5"/>
      <c r="Q838" s="5"/>
      <c r="R838" s="5"/>
      <c r="S838" s="5"/>
      <c r="U838" s="5"/>
      <c r="W838" s="5"/>
    </row>
    <row r="839" spans="3:23" x14ac:dyDescent="0.2">
      <c r="C839" s="5"/>
      <c r="I839" s="5"/>
      <c r="L839" s="5"/>
      <c r="M839" s="5"/>
      <c r="N839" s="5"/>
      <c r="P839" s="5"/>
      <c r="Q839" s="5"/>
      <c r="R839" s="5"/>
      <c r="S839" s="5"/>
      <c r="U839" s="5"/>
      <c r="W839" s="5"/>
    </row>
    <row r="840" spans="3:23" x14ac:dyDescent="0.2">
      <c r="C840" s="5"/>
      <c r="I840" s="5"/>
      <c r="L840" s="5"/>
      <c r="M840" s="5"/>
      <c r="N840" s="5"/>
      <c r="P840" s="5"/>
      <c r="Q840" s="5"/>
      <c r="R840" s="5"/>
      <c r="S840" s="5"/>
      <c r="U840" s="5"/>
      <c r="W840" s="5"/>
    </row>
    <row r="841" spans="3:23" x14ac:dyDescent="0.2">
      <c r="C841" s="5"/>
      <c r="I841" s="5"/>
      <c r="L841" s="5"/>
      <c r="M841" s="5"/>
      <c r="N841" s="5"/>
      <c r="P841" s="5"/>
      <c r="Q841" s="5"/>
      <c r="R841" s="5"/>
      <c r="S841" s="5"/>
      <c r="U841" s="5"/>
      <c r="W841" s="5"/>
    </row>
    <row r="842" spans="3:23" x14ac:dyDescent="0.2">
      <c r="C842" s="5"/>
      <c r="I842" s="5"/>
      <c r="L842" s="5"/>
      <c r="M842" s="5"/>
      <c r="N842" s="5"/>
      <c r="P842" s="5"/>
      <c r="Q842" s="5"/>
      <c r="R842" s="5"/>
      <c r="S842" s="5"/>
      <c r="U842" s="5"/>
      <c r="W842" s="5"/>
    </row>
    <row r="843" spans="3:23" x14ac:dyDescent="0.2">
      <c r="C843" s="5"/>
      <c r="I843" s="5"/>
      <c r="L843" s="5"/>
      <c r="M843" s="5"/>
      <c r="N843" s="5"/>
      <c r="P843" s="5"/>
      <c r="Q843" s="5"/>
      <c r="R843" s="5"/>
      <c r="S843" s="5"/>
      <c r="U843" s="5"/>
      <c r="W843" s="5"/>
    </row>
    <row r="844" spans="3:23" x14ac:dyDescent="0.2">
      <c r="C844" s="5"/>
      <c r="I844" s="5"/>
      <c r="L844" s="5"/>
      <c r="M844" s="5"/>
      <c r="N844" s="5"/>
      <c r="P844" s="5"/>
      <c r="Q844" s="5"/>
      <c r="R844" s="5"/>
      <c r="S844" s="5"/>
      <c r="U844" s="5"/>
      <c r="W844" s="5"/>
    </row>
    <row r="845" spans="3:23" x14ac:dyDescent="0.2">
      <c r="C845" s="5"/>
      <c r="I845" s="5"/>
      <c r="L845" s="5"/>
      <c r="M845" s="5"/>
      <c r="N845" s="5"/>
      <c r="P845" s="5"/>
      <c r="Q845" s="5"/>
      <c r="R845" s="5"/>
      <c r="S845" s="5"/>
      <c r="U845" s="5"/>
      <c r="W845" s="5"/>
    </row>
    <row r="846" spans="3:23" x14ac:dyDescent="0.2">
      <c r="C846" s="5"/>
      <c r="I846" s="5"/>
      <c r="L846" s="5"/>
      <c r="M846" s="5"/>
      <c r="N846" s="5"/>
      <c r="P846" s="5"/>
      <c r="Q846" s="5"/>
      <c r="R846" s="5"/>
      <c r="S846" s="5"/>
      <c r="U846" s="5"/>
      <c r="W846" s="5"/>
    </row>
    <row r="847" spans="3:23" x14ac:dyDescent="0.2">
      <c r="C847" s="5"/>
      <c r="I847" s="5"/>
      <c r="L847" s="5"/>
      <c r="M847" s="5"/>
      <c r="N847" s="5"/>
      <c r="P847" s="5"/>
      <c r="Q847" s="5"/>
      <c r="R847" s="5"/>
      <c r="S847" s="5"/>
      <c r="U847" s="5"/>
      <c r="W847" s="5"/>
    </row>
    <row r="848" spans="3:23" x14ac:dyDescent="0.2">
      <c r="C848" s="5"/>
      <c r="I848" s="5"/>
      <c r="L848" s="5"/>
      <c r="M848" s="5"/>
      <c r="N848" s="5"/>
      <c r="P848" s="5"/>
      <c r="Q848" s="5"/>
      <c r="R848" s="5"/>
      <c r="S848" s="5"/>
      <c r="U848" s="5"/>
      <c r="W848" s="5"/>
    </row>
    <row r="849" spans="3:23" x14ac:dyDescent="0.2">
      <c r="C849" s="5"/>
      <c r="I849" s="5"/>
      <c r="L849" s="5"/>
      <c r="M849" s="5"/>
      <c r="N849" s="5"/>
      <c r="P849" s="5"/>
      <c r="Q849" s="5"/>
      <c r="R849" s="5"/>
      <c r="S849" s="5"/>
      <c r="U849" s="5"/>
      <c r="W849" s="5"/>
    </row>
    <row r="850" spans="3:23" x14ac:dyDescent="0.2">
      <c r="C850" s="5"/>
      <c r="I850" s="5"/>
      <c r="L850" s="5"/>
      <c r="M850" s="5"/>
      <c r="N850" s="5"/>
      <c r="P850" s="5"/>
      <c r="Q850" s="5"/>
      <c r="R850" s="5"/>
      <c r="S850" s="5"/>
      <c r="U850" s="5"/>
      <c r="W850" s="5"/>
    </row>
    <row r="851" spans="3:23" x14ac:dyDescent="0.2">
      <c r="C851" s="5"/>
      <c r="I851" s="5"/>
      <c r="L851" s="5"/>
      <c r="M851" s="5"/>
      <c r="N851" s="5"/>
      <c r="P851" s="5"/>
      <c r="Q851" s="5"/>
      <c r="R851" s="5"/>
      <c r="S851" s="5"/>
      <c r="U851" s="5"/>
      <c r="W851" s="5"/>
    </row>
    <row r="852" spans="3:23" x14ac:dyDescent="0.2">
      <c r="C852" s="5"/>
      <c r="I852" s="5"/>
      <c r="L852" s="5"/>
      <c r="M852" s="5"/>
      <c r="N852" s="5"/>
      <c r="P852" s="5"/>
      <c r="Q852" s="5"/>
      <c r="R852" s="5"/>
      <c r="S852" s="5"/>
      <c r="U852" s="5"/>
      <c r="W852" s="5"/>
    </row>
    <row r="853" spans="3:23" x14ac:dyDescent="0.2">
      <c r="C853" s="5"/>
      <c r="I853" s="5"/>
      <c r="L853" s="5"/>
      <c r="M853" s="5"/>
      <c r="N853" s="5"/>
      <c r="P853" s="5"/>
      <c r="Q853" s="5"/>
      <c r="R853" s="5"/>
      <c r="S853" s="5"/>
      <c r="U853" s="5"/>
      <c r="W853" s="5"/>
    </row>
    <row r="854" spans="3:23" x14ac:dyDescent="0.2">
      <c r="C854" s="5"/>
      <c r="I854" s="5"/>
      <c r="L854" s="5"/>
      <c r="M854" s="5"/>
      <c r="N854" s="5"/>
      <c r="P854" s="5"/>
      <c r="Q854" s="5"/>
      <c r="R854" s="5"/>
      <c r="S854" s="5"/>
      <c r="U854" s="5"/>
      <c r="W854" s="5"/>
    </row>
    <row r="855" spans="3:23" x14ac:dyDescent="0.2">
      <c r="C855" s="5"/>
      <c r="I855" s="5"/>
      <c r="L855" s="5"/>
      <c r="M855" s="5"/>
      <c r="N855" s="5"/>
      <c r="P855" s="5"/>
      <c r="Q855" s="5"/>
      <c r="R855" s="5"/>
      <c r="S855" s="5"/>
      <c r="U855" s="5"/>
      <c r="W855" s="5"/>
    </row>
    <row r="856" spans="3:23" x14ac:dyDescent="0.2">
      <c r="C856" s="5"/>
      <c r="I856" s="5"/>
      <c r="L856" s="5"/>
      <c r="M856" s="5"/>
      <c r="N856" s="5"/>
      <c r="P856" s="5"/>
      <c r="Q856" s="5"/>
      <c r="R856" s="5"/>
      <c r="S856" s="5"/>
      <c r="U856" s="5"/>
      <c r="W856" s="5"/>
    </row>
    <row r="857" spans="3:23" x14ac:dyDescent="0.2">
      <c r="C857" s="5"/>
      <c r="I857" s="5"/>
      <c r="L857" s="5"/>
      <c r="M857" s="5"/>
      <c r="N857" s="5"/>
      <c r="P857" s="5"/>
      <c r="Q857" s="5"/>
      <c r="R857" s="5"/>
      <c r="S857" s="5"/>
      <c r="U857" s="5"/>
      <c r="W857" s="5"/>
    </row>
    <row r="858" spans="3:23" x14ac:dyDescent="0.2">
      <c r="C858" s="5"/>
      <c r="I858" s="5"/>
      <c r="L858" s="5"/>
      <c r="M858" s="5"/>
      <c r="N858" s="5"/>
      <c r="P858" s="5"/>
      <c r="Q858" s="5"/>
      <c r="R858" s="5"/>
      <c r="S858" s="5"/>
      <c r="U858" s="5"/>
      <c r="W858" s="5"/>
    </row>
    <row r="859" spans="3:23" x14ac:dyDescent="0.2">
      <c r="C859" s="5"/>
      <c r="I859" s="5"/>
      <c r="L859" s="5"/>
      <c r="M859" s="5"/>
      <c r="N859" s="5"/>
      <c r="P859" s="5"/>
      <c r="Q859" s="5"/>
      <c r="R859" s="5"/>
      <c r="S859" s="5"/>
      <c r="U859" s="5"/>
      <c r="W859" s="5"/>
    </row>
    <row r="860" spans="3:23" x14ac:dyDescent="0.2">
      <c r="C860" s="5"/>
      <c r="I860" s="5"/>
      <c r="L860" s="5"/>
      <c r="M860" s="5"/>
      <c r="N860" s="5"/>
      <c r="P860" s="5"/>
      <c r="Q860" s="5"/>
      <c r="R860" s="5"/>
      <c r="S860" s="5"/>
      <c r="U860" s="5"/>
      <c r="W860" s="5"/>
    </row>
    <row r="861" spans="3:23" x14ac:dyDescent="0.2">
      <c r="C861" s="5"/>
      <c r="I861" s="5"/>
      <c r="L861" s="5"/>
      <c r="M861" s="5"/>
      <c r="N861" s="5"/>
      <c r="P861" s="5"/>
      <c r="Q861" s="5"/>
      <c r="R861" s="5"/>
      <c r="S861" s="5"/>
      <c r="U861" s="5"/>
      <c r="W861" s="5"/>
    </row>
    <row r="862" spans="3:23" x14ac:dyDescent="0.2">
      <c r="C862" s="5"/>
      <c r="I862" s="5"/>
      <c r="L862" s="5"/>
      <c r="M862" s="5"/>
      <c r="N862" s="5"/>
      <c r="P862" s="5"/>
      <c r="Q862" s="5"/>
      <c r="R862" s="5"/>
      <c r="S862" s="5"/>
      <c r="U862" s="5"/>
      <c r="W862" s="5"/>
    </row>
    <row r="863" spans="3:23" x14ac:dyDescent="0.2">
      <c r="C863" s="5"/>
      <c r="I863" s="5"/>
      <c r="L863" s="5"/>
      <c r="M863" s="5"/>
      <c r="N863" s="5"/>
      <c r="P863" s="5"/>
      <c r="Q863" s="5"/>
      <c r="R863" s="5"/>
      <c r="S863" s="5"/>
      <c r="U863" s="5"/>
      <c r="W863" s="5"/>
    </row>
    <row r="864" spans="3:23" x14ac:dyDescent="0.2">
      <c r="C864" s="5"/>
      <c r="I864" s="5"/>
      <c r="L864" s="5"/>
      <c r="M864" s="5"/>
      <c r="N864" s="5"/>
      <c r="P864" s="5"/>
      <c r="Q864" s="5"/>
      <c r="R864" s="5"/>
      <c r="S864" s="5"/>
      <c r="U864" s="5"/>
      <c r="W864" s="5"/>
    </row>
    <row r="865" spans="3:23" x14ac:dyDescent="0.2">
      <c r="C865" s="5"/>
      <c r="I865" s="5"/>
      <c r="L865" s="5"/>
      <c r="M865" s="5"/>
      <c r="N865" s="5"/>
      <c r="P865" s="5"/>
      <c r="Q865" s="5"/>
      <c r="R865" s="5"/>
      <c r="S865" s="5"/>
      <c r="U865" s="5"/>
      <c r="W865" s="5"/>
    </row>
    <row r="866" spans="3:23" x14ac:dyDescent="0.2">
      <c r="C866" s="5"/>
      <c r="I866" s="5"/>
      <c r="L866" s="5"/>
      <c r="M866" s="5"/>
      <c r="N866" s="5"/>
      <c r="P866" s="5"/>
      <c r="Q866" s="5"/>
      <c r="R866" s="5"/>
      <c r="S866" s="5"/>
      <c r="U866" s="5"/>
      <c r="W866" s="5"/>
    </row>
    <row r="867" spans="3:23" x14ac:dyDescent="0.2">
      <c r="C867" s="5"/>
      <c r="I867" s="5"/>
      <c r="L867" s="5"/>
      <c r="M867" s="5"/>
      <c r="N867" s="5"/>
      <c r="P867" s="5"/>
      <c r="Q867" s="5"/>
      <c r="R867" s="5"/>
      <c r="S867" s="5"/>
      <c r="U867" s="5"/>
      <c r="W867" s="5"/>
    </row>
    <row r="868" spans="3:23" x14ac:dyDescent="0.2">
      <c r="C868" s="5"/>
      <c r="I868" s="5"/>
      <c r="L868" s="5"/>
      <c r="M868" s="5"/>
      <c r="N868" s="5"/>
      <c r="P868" s="5"/>
      <c r="Q868" s="5"/>
      <c r="R868" s="5"/>
      <c r="S868" s="5"/>
      <c r="U868" s="5"/>
      <c r="W868" s="5"/>
    </row>
    <row r="869" spans="3:23" x14ac:dyDescent="0.2">
      <c r="C869" s="5"/>
      <c r="I869" s="5"/>
      <c r="L869" s="5"/>
      <c r="M869" s="5"/>
      <c r="N869" s="5"/>
      <c r="P869" s="5"/>
      <c r="Q869" s="5"/>
      <c r="R869" s="5"/>
      <c r="S869" s="5"/>
      <c r="U869" s="5"/>
      <c r="W869" s="5"/>
    </row>
    <row r="870" spans="3:23" x14ac:dyDescent="0.2">
      <c r="C870" s="5"/>
      <c r="I870" s="5"/>
      <c r="L870" s="5"/>
      <c r="M870" s="5"/>
      <c r="N870" s="5"/>
      <c r="P870" s="5"/>
      <c r="Q870" s="5"/>
      <c r="R870" s="5"/>
      <c r="S870" s="5"/>
      <c r="U870" s="5"/>
      <c r="W870" s="5"/>
    </row>
    <row r="871" spans="3:23" x14ac:dyDescent="0.2">
      <c r="C871" s="5"/>
      <c r="I871" s="5"/>
      <c r="L871" s="5"/>
      <c r="M871" s="5"/>
      <c r="N871" s="5"/>
      <c r="P871" s="5"/>
      <c r="Q871" s="5"/>
      <c r="R871" s="5"/>
      <c r="S871" s="5"/>
      <c r="U871" s="5"/>
      <c r="W871" s="5"/>
    </row>
    <row r="872" spans="3:23" x14ac:dyDescent="0.2">
      <c r="C872" s="5"/>
      <c r="I872" s="5"/>
      <c r="L872" s="5"/>
      <c r="M872" s="5"/>
      <c r="N872" s="5"/>
      <c r="P872" s="5"/>
      <c r="Q872" s="5"/>
      <c r="R872" s="5"/>
      <c r="S872" s="5"/>
      <c r="U872" s="5"/>
      <c r="W872" s="5"/>
    </row>
    <row r="873" spans="3:23" x14ac:dyDescent="0.2">
      <c r="C873" s="5"/>
      <c r="I873" s="5"/>
      <c r="L873" s="5"/>
      <c r="M873" s="5"/>
      <c r="N873" s="5"/>
      <c r="P873" s="5"/>
      <c r="Q873" s="5"/>
      <c r="R873" s="5"/>
      <c r="S873" s="5"/>
      <c r="U873" s="5"/>
      <c r="W873" s="5"/>
    </row>
    <row r="874" spans="3:23" x14ac:dyDescent="0.2">
      <c r="C874" s="5"/>
      <c r="I874" s="5"/>
      <c r="L874" s="5"/>
      <c r="M874" s="5"/>
      <c r="N874" s="5"/>
      <c r="P874" s="5"/>
      <c r="Q874" s="5"/>
      <c r="R874" s="5"/>
      <c r="S874" s="5"/>
      <c r="U874" s="5"/>
      <c r="W874" s="5"/>
    </row>
    <row r="875" spans="3:23" x14ac:dyDescent="0.2">
      <c r="C875" s="5"/>
      <c r="I875" s="5"/>
      <c r="L875" s="5"/>
      <c r="M875" s="5"/>
      <c r="N875" s="5"/>
      <c r="P875" s="5"/>
      <c r="Q875" s="5"/>
      <c r="R875" s="5"/>
      <c r="S875" s="5"/>
      <c r="U875" s="5"/>
      <c r="W875" s="5"/>
    </row>
    <row r="876" spans="3:23" x14ac:dyDescent="0.2">
      <c r="C876" s="5"/>
      <c r="I876" s="5"/>
      <c r="L876" s="5"/>
      <c r="M876" s="5"/>
      <c r="N876" s="5"/>
      <c r="P876" s="5"/>
      <c r="Q876" s="5"/>
      <c r="R876" s="5"/>
      <c r="S876" s="5"/>
      <c r="U876" s="5"/>
      <c r="W876" s="5"/>
    </row>
    <row r="877" spans="3:23" x14ac:dyDescent="0.2">
      <c r="C877" s="5"/>
      <c r="I877" s="5"/>
      <c r="L877" s="5"/>
      <c r="M877" s="5"/>
      <c r="N877" s="5"/>
      <c r="P877" s="5"/>
      <c r="Q877" s="5"/>
      <c r="R877" s="5"/>
      <c r="S877" s="5"/>
      <c r="U877" s="5"/>
      <c r="W877" s="5"/>
    </row>
    <row r="878" spans="3:23" x14ac:dyDescent="0.2">
      <c r="C878" s="5"/>
      <c r="I878" s="5"/>
      <c r="L878" s="5"/>
      <c r="M878" s="5"/>
      <c r="N878" s="5"/>
      <c r="P878" s="5"/>
      <c r="Q878" s="5"/>
      <c r="R878" s="5"/>
      <c r="S878" s="5"/>
      <c r="U878" s="5"/>
      <c r="W878" s="5"/>
    </row>
    <row r="879" spans="3:23" x14ac:dyDescent="0.2">
      <c r="C879" s="5"/>
      <c r="I879" s="5"/>
      <c r="L879" s="5"/>
      <c r="M879" s="5"/>
      <c r="N879" s="5"/>
      <c r="P879" s="5"/>
      <c r="Q879" s="5"/>
      <c r="R879" s="5"/>
      <c r="S879" s="5"/>
      <c r="U879" s="5"/>
      <c r="W879" s="5"/>
    </row>
    <row r="880" spans="3:23" x14ac:dyDescent="0.2">
      <c r="C880" s="5"/>
      <c r="I880" s="5"/>
      <c r="L880" s="5"/>
      <c r="M880" s="5"/>
      <c r="N880" s="5"/>
      <c r="P880" s="5"/>
      <c r="Q880" s="5"/>
      <c r="R880" s="5"/>
      <c r="S880" s="5"/>
      <c r="U880" s="5"/>
      <c r="W880" s="5"/>
    </row>
    <row r="881" spans="3:23" x14ac:dyDescent="0.2">
      <c r="C881" s="5"/>
      <c r="I881" s="5"/>
      <c r="L881" s="5"/>
      <c r="M881" s="5"/>
      <c r="N881" s="5"/>
      <c r="P881" s="5"/>
      <c r="Q881" s="5"/>
      <c r="R881" s="5"/>
      <c r="S881" s="5"/>
      <c r="U881" s="5"/>
      <c r="W881" s="5"/>
    </row>
    <row r="882" spans="3:23" x14ac:dyDescent="0.2">
      <c r="C882" s="5"/>
      <c r="I882" s="5"/>
      <c r="L882" s="5"/>
      <c r="M882" s="5"/>
      <c r="N882" s="5"/>
      <c r="P882" s="5"/>
      <c r="Q882" s="5"/>
      <c r="R882" s="5"/>
      <c r="S882" s="5"/>
      <c r="U882" s="5"/>
      <c r="W882" s="5"/>
    </row>
    <row r="883" spans="3:23" x14ac:dyDescent="0.2">
      <c r="C883" s="5"/>
      <c r="I883" s="5"/>
      <c r="L883" s="5"/>
      <c r="M883" s="5"/>
      <c r="N883" s="5"/>
      <c r="P883" s="5"/>
      <c r="Q883" s="5"/>
      <c r="R883" s="5"/>
      <c r="S883" s="5"/>
      <c r="U883" s="5"/>
      <c r="W883" s="5"/>
    </row>
    <row r="884" spans="3:23" x14ac:dyDescent="0.2">
      <c r="C884" s="5"/>
      <c r="I884" s="5"/>
      <c r="L884" s="5"/>
      <c r="M884" s="5"/>
      <c r="N884" s="5"/>
      <c r="P884" s="5"/>
      <c r="Q884" s="5"/>
      <c r="R884" s="5"/>
      <c r="S884" s="5"/>
      <c r="U884" s="5"/>
      <c r="W884" s="5"/>
    </row>
    <row r="885" spans="3:23" x14ac:dyDescent="0.2">
      <c r="C885" s="5"/>
      <c r="I885" s="5"/>
      <c r="L885" s="5"/>
      <c r="M885" s="5"/>
      <c r="N885" s="5"/>
      <c r="P885" s="5"/>
      <c r="Q885" s="5"/>
      <c r="R885" s="5"/>
      <c r="S885" s="5"/>
      <c r="U885" s="5"/>
      <c r="W885" s="5"/>
    </row>
    <row r="886" spans="3:23" x14ac:dyDescent="0.2">
      <c r="C886" s="5"/>
      <c r="I886" s="5"/>
      <c r="L886" s="5"/>
      <c r="M886" s="5"/>
      <c r="N886" s="5"/>
      <c r="P886" s="5"/>
      <c r="Q886" s="5"/>
      <c r="R886" s="5"/>
      <c r="S886" s="5"/>
      <c r="U886" s="5"/>
      <c r="W886" s="5"/>
    </row>
    <row r="887" spans="3:23" x14ac:dyDescent="0.2">
      <c r="C887" s="5"/>
      <c r="I887" s="5"/>
      <c r="L887" s="5"/>
      <c r="M887" s="5"/>
      <c r="N887" s="5"/>
      <c r="P887" s="5"/>
      <c r="Q887" s="5"/>
      <c r="R887" s="5"/>
      <c r="S887" s="5"/>
      <c r="U887" s="5"/>
      <c r="W887" s="5"/>
    </row>
    <row r="888" spans="3:23" x14ac:dyDescent="0.2">
      <c r="C888" s="5"/>
      <c r="I888" s="5"/>
      <c r="L888" s="5"/>
      <c r="M888" s="5"/>
      <c r="N888" s="5"/>
      <c r="P888" s="5"/>
      <c r="Q888" s="5"/>
      <c r="R888" s="5"/>
      <c r="S888" s="5"/>
      <c r="U888" s="5"/>
      <c r="W888" s="5"/>
    </row>
    <row r="889" spans="3:23" x14ac:dyDescent="0.2">
      <c r="C889" s="5"/>
      <c r="I889" s="5"/>
      <c r="L889" s="5"/>
      <c r="M889" s="5"/>
      <c r="N889" s="5"/>
      <c r="P889" s="5"/>
      <c r="Q889" s="5"/>
      <c r="R889" s="5"/>
      <c r="S889" s="5"/>
      <c r="U889" s="5"/>
      <c r="W889" s="5"/>
    </row>
    <row r="890" spans="3:23" x14ac:dyDescent="0.2">
      <c r="C890" s="5"/>
      <c r="I890" s="5"/>
      <c r="L890" s="5"/>
      <c r="M890" s="5"/>
      <c r="N890" s="5"/>
      <c r="P890" s="5"/>
      <c r="Q890" s="5"/>
      <c r="R890" s="5"/>
      <c r="S890" s="5"/>
      <c r="U890" s="5"/>
      <c r="W890" s="5"/>
    </row>
    <row r="891" spans="3:23" x14ac:dyDescent="0.2">
      <c r="C891" s="5"/>
      <c r="I891" s="5"/>
      <c r="L891" s="5"/>
      <c r="M891" s="5"/>
      <c r="N891" s="5"/>
      <c r="P891" s="5"/>
      <c r="Q891" s="5"/>
      <c r="R891" s="5"/>
      <c r="S891" s="5"/>
      <c r="U891" s="5"/>
      <c r="W891" s="5"/>
    </row>
    <row r="892" spans="3:23" x14ac:dyDescent="0.2">
      <c r="C892" s="5"/>
      <c r="I892" s="5"/>
      <c r="L892" s="5"/>
      <c r="M892" s="5"/>
      <c r="N892" s="5"/>
      <c r="P892" s="5"/>
      <c r="Q892" s="5"/>
      <c r="R892" s="5"/>
      <c r="S892" s="5"/>
      <c r="U892" s="5"/>
      <c r="W892" s="5"/>
    </row>
    <row r="893" spans="3:23" x14ac:dyDescent="0.2">
      <c r="C893" s="5"/>
      <c r="I893" s="5"/>
      <c r="L893" s="5"/>
      <c r="M893" s="5"/>
      <c r="N893" s="5"/>
      <c r="P893" s="5"/>
      <c r="Q893" s="5"/>
      <c r="R893" s="5"/>
      <c r="S893" s="5"/>
      <c r="U893" s="5"/>
      <c r="W893" s="5"/>
    </row>
    <row r="894" spans="3:23" x14ac:dyDescent="0.2">
      <c r="C894" s="5"/>
      <c r="I894" s="5"/>
      <c r="L894" s="5"/>
      <c r="M894" s="5"/>
      <c r="N894" s="5"/>
      <c r="P894" s="5"/>
      <c r="Q894" s="5"/>
      <c r="R894" s="5"/>
      <c r="S894" s="5"/>
      <c r="U894" s="5"/>
      <c r="W894" s="5"/>
    </row>
    <row r="895" spans="3:23" x14ac:dyDescent="0.2">
      <c r="C895" s="5"/>
      <c r="I895" s="5"/>
      <c r="L895" s="5"/>
      <c r="M895" s="5"/>
      <c r="N895" s="5"/>
      <c r="P895" s="5"/>
      <c r="Q895" s="5"/>
      <c r="R895" s="5"/>
      <c r="S895" s="5"/>
      <c r="U895" s="5"/>
      <c r="W895" s="5"/>
    </row>
    <row r="896" spans="3:23" x14ac:dyDescent="0.2">
      <c r="C896" s="5"/>
      <c r="I896" s="5"/>
      <c r="L896" s="5"/>
      <c r="M896" s="5"/>
      <c r="N896" s="5"/>
      <c r="P896" s="5"/>
      <c r="Q896" s="5"/>
      <c r="R896" s="5"/>
      <c r="S896" s="5"/>
      <c r="U896" s="5"/>
      <c r="W896" s="5"/>
    </row>
    <row r="897" spans="3:23" x14ac:dyDescent="0.2">
      <c r="C897" s="5"/>
      <c r="I897" s="5"/>
      <c r="L897" s="5"/>
      <c r="M897" s="5"/>
      <c r="N897" s="5"/>
      <c r="P897" s="5"/>
      <c r="Q897" s="5"/>
      <c r="R897" s="5"/>
      <c r="S897" s="5"/>
      <c r="U897" s="5"/>
      <c r="W897" s="5"/>
    </row>
    <row r="898" spans="3:23" x14ac:dyDescent="0.2">
      <c r="C898" s="5"/>
      <c r="I898" s="5"/>
      <c r="L898" s="5"/>
      <c r="M898" s="5"/>
      <c r="N898" s="5"/>
      <c r="P898" s="5"/>
      <c r="Q898" s="5"/>
      <c r="R898" s="5"/>
      <c r="S898" s="5"/>
      <c r="U898" s="5"/>
      <c r="W898" s="5"/>
    </row>
    <row r="899" spans="3:23" x14ac:dyDescent="0.2">
      <c r="C899" s="5"/>
      <c r="I899" s="5"/>
      <c r="L899" s="5"/>
      <c r="M899" s="5"/>
      <c r="N899" s="5"/>
      <c r="P899" s="5"/>
      <c r="Q899" s="5"/>
      <c r="R899" s="5"/>
      <c r="S899" s="5"/>
      <c r="U899" s="5"/>
      <c r="W899" s="5"/>
    </row>
    <row r="900" spans="3:23" x14ac:dyDescent="0.2">
      <c r="C900" s="5"/>
      <c r="I900" s="5"/>
      <c r="L900" s="5"/>
      <c r="M900" s="5"/>
      <c r="N900" s="5"/>
      <c r="P900" s="5"/>
      <c r="Q900" s="5"/>
      <c r="R900" s="5"/>
      <c r="S900" s="5"/>
      <c r="U900" s="5"/>
      <c r="W900" s="5"/>
    </row>
    <row r="901" spans="3:23" x14ac:dyDescent="0.2">
      <c r="C901" s="5"/>
      <c r="I901" s="5"/>
      <c r="L901" s="5"/>
      <c r="M901" s="5"/>
      <c r="N901" s="5"/>
      <c r="P901" s="5"/>
      <c r="Q901" s="5"/>
      <c r="R901" s="5"/>
      <c r="S901" s="5"/>
      <c r="U901" s="5"/>
      <c r="W901" s="5"/>
    </row>
    <row r="902" spans="3:23" x14ac:dyDescent="0.2">
      <c r="C902" s="5"/>
      <c r="I902" s="5"/>
      <c r="L902" s="5"/>
      <c r="M902" s="5"/>
      <c r="N902" s="5"/>
      <c r="P902" s="5"/>
      <c r="Q902" s="5"/>
      <c r="R902" s="5"/>
      <c r="S902" s="5"/>
      <c r="U902" s="5"/>
      <c r="W902" s="5"/>
    </row>
    <row r="903" spans="3:23" x14ac:dyDescent="0.2">
      <c r="C903" s="5"/>
      <c r="I903" s="5"/>
      <c r="L903" s="5"/>
      <c r="M903" s="5"/>
      <c r="N903" s="5"/>
      <c r="P903" s="5"/>
      <c r="Q903" s="5"/>
      <c r="R903" s="5"/>
      <c r="S903" s="5"/>
      <c r="U903" s="5"/>
      <c r="W903" s="5"/>
    </row>
    <row r="904" spans="3:23" x14ac:dyDescent="0.2">
      <c r="C904" s="5"/>
      <c r="I904" s="5"/>
      <c r="L904" s="5"/>
      <c r="M904" s="5"/>
      <c r="N904" s="5"/>
      <c r="P904" s="5"/>
      <c r="Q904" s="5"/>
      <c r="R904" s="5"/>
      <c r="S904" s="5"/>
      <c r="U904" s="5"/>
      <c r="W904" s="5"/>
    </row>
    <row r="905" spans="3:23" x14ac:dyDescent="0.2">
      <c r="C905" s="5"/>
      <c r="I905" s="5"/>
      <c r="L905" s="5"/>
      <c r="M905" s="5"/>
      <c r="N905" s="5"/>
      <c r="P905" s="5"/>
      <c r="Q905" s="5"/>
      <c r="R905" s="5"/>
      <c r="S905" s="5"/>
      <c r="U905" s="5"/>
      <c r="W905" s="5"/>
    </row>
    <row r="906" spans="3:23" x14ac:dyDescent="0.2">
      <c r="C906" s="5"/>
      <c r="I906" s="5"/>
      <c r="L906" s="5"/>
      <c r="M906" s="5"/>
      <c r="N906" s="5"/>
      <c r="P906" s="5"/>
      <c r="Q906" s="5"/>
      <c r="R906" s="5"/>
      <c r="S906" s="5"/>
      <c r="U906" s="5"/>
      <c r="W906" s="5"/>
    </row>
    <row r="907" spans="3:23" x14ac:dyDescent="0.2">
      <c r="C907" s="5"/>
      <c r="I907" s="5"/>
      <c r="L907" s="5"/>
      <c r="M907" s="5"/>
      <c r="N907" s="5"/>
      <c r="P907" s="5"/>
      <c r="Q907" s="5"/>
      <c r="R907" s="5"/>
      <c r="S907" s="5"/>
      <c r="U907" s="5"/>
      <c r="W907" s="5"/>
    </row>
    <row r="908" spans="3:23" x14ac:dyDescent="0.2">
      <c r="C908" s="5"/>
      <c r="I908" s="5"/>
      <c r="L908" s="5"/>
      <c r="M908" s="5"/>
      <c r="N908" s="5"/>
      <c r="P908" s="5"/>
      <c r="Q908" s="5"/>
      <c r="R908" s="5"/>
      <c r="S908" s="5"/>
      <c r="U908" s="5"/>
      <c r="W908" s="5"/>
    </row>
    <row r="909" spans="3:23" x14ac:dyDescent="0.2">
      <c r="C909" s="5"/>
      <c r="I909" s="5"/>
      <c r="L909" s="5"/>
      <c r="M909" s="5"/>
      <c r="N909" s="5"/>
      <c r="P909" s="5"/>
      <c r="Q909" s="5"/>
      <c r="R909" s="5"/>
      <c r="S909" s="5"/>
      <c r="U909" s="5"/>
      <c r="W909" s="5"/>
    </row>
    <row r="910" spans="3:23" x14ac:dyDescent="0.2">
      <c r="C910" s="5"/>
      <c r="I910" s="5"/>
      <c r="L910" s="5"/>
      <c r="M910" s="5"/>
      <c r="N910" s="5"/>
      <c r="P910" s="5"/>
      <c r="Q910" s="5"/>
      <c r="R910" s="5"/>
      <c r="S910" s="5"/>
      <c r="U910" s="5"/>
      <c r="W910" s="5"/>
    </row>
    <row r="911" spans="3:23" x14ac:dyDescent="0.2">
      <c r="C911" s="5"/>
      <c r="I911" s="5"/>
      <c r="L911" s="5"/>
      <c r="M911" s="5"/>
      <c r="N911" s="5"/>
      <c r="P911" s="5"/>
      <c r="Q911" s="5"/>
      <c r="R911" s="5"/>
      <c r="S911" s="5"/>
      <c r="U911" s="5"/>
      <c r="W911" s="5"/>
    </row>
    <row r="912" spans="3:23" x14ac:dyDescent="0.2">
      <c r="C912" s="5"/>
      <c r="I912" s="5"/>
      <c r="L912" s="5"/>
      <c r="M912" s="5"/>
      <c r="N912" s="5"/>
      <c r="P912" s="5"/>
      <c r="Q912" s="5"/>
      <c r="R912" s="5"/>
      <c r="S912" s="5"/>
      <c r="U912" s="5"/>
      <c r="W912" s="5"/>
    </row>
    <row r="913" spans="3:23" x14ac:dyDescent="0.2">
      <c r="C913" s="5"/>
      <c r="I913" s="5"/>
      <c r="L913" s="5"/>
      <c r="M913" s="5"/>
      <c r="N913" s="5"/>
      <c r="P913" s="5"/>
      <c r="Q913" s="5"/>
      <c r="R913" s="5"/>
      <c r="S913" s="5"/>
      <c r="U913" s="5"/>
      <c r="W913" s="5"/>
    </row>
    <row r="914" spans="3:23" x14ac:dyDescent="0.2">
      <c r="C914" s="5"/>
      <c r="I914" s="5"/>
      <c r="L914" s="5"/>
      <c r="M914" s="5"/>
      <c r="N914" s="5"/>
      <c r="P914" s="5"/>
      <c r="Q914" s="5"/>
      <c r="R914" s="5"/>
      <c r="S914" s="5"/>
      <c r="U914" s="5"/>
      <c r="W914" s="5"/>
    </row>
    <row r="915" spans="3:23" x14ac:dyDescent="0.2">
      <c r="C915" s="5"/>
      <c r="I915" s="5"/>
      <c r="L915" s="5"/>
      <c r="M915" s="5"/>
      <c r="N915" s="5"/>
      <c r="P915" s="5"/>
      <c r="Q915" s="5"/>
      <c r="R915" s="5"/>
      <c r="S915" s="5"/>
      <c r="U915" s="5"/>
      <c r="W915" s="5"/>
    </row>
    <row r="916" spans="3:23" x14ac:dyDescent="0.2">
      <c r="C916" s="5"/>
      <c r="I916" s="5"/>
      <c r="L916" s="5"/>
      <c r="M916" s="5"/>
      <c r="N916" s="5"/>
      <c r="P916" s="5"/>
      <c r="Q916" s="5"/>
      <c r="R916" s="5"/>
      <c r="S916" s="5"/>
      <c r="U916" s="5"/>
      <c r="W916" s="5"/>
    </row>
    <row r="917" spans="3:23" x14ac:dyDescent="0.2">
      <c r="C917" s="5"/>
      <c r="I917" s="5"/>
      <c r="L917" s="5"/>
      <c r="M917" s="5"/>
      <c r="N917" s="5"/>
      <c r="P917" s="5"/>
      <c r="Q917" s="5"/>
      <c r="R917" s="5"/>
      <c r="S917" s="5"/>
      <c r="U917" s="5"/>
      <c r="W917" s="5"/>
    </row>
    <row r="918" spans="3:23" x14ac:dyDescent="0.2">
      <c r="C918" s="5"/>
      <c r="I918" s="5"/>
      <c r="L918" s="5"/>
      <c r="M918" s="5"/>
      <c r="N918" s="5"/>
      <c r="P918" s="5"/>
      <c r="Q918" s="5"/>
      <c r="R918" s="5"/>
      <c r="S918" s="5"/>
      <c r="U918" s="5"/>
      <c r="W918" s="5"/>
    </row>
    <row r="919" spans="3:23" x14ac:dyDescent="0.2">
      <c r="C919" s="5"/>
      <c r="I919" s="5"/>
      <c r="L919" s="5"/>
      <c r="M919" s="5"/>
      <c r="N919" s="5"/>
      <c r="P919" s="5"/>
      <c r="Q919" s="5"/>
      <c r="R919" s="5"/>
      <c r="S919" s="5"/>
      <c r="U919" s="5"/>
      <c r="W919" s="5"/>
    </row>
    <row r="920" spans="3:23" x14ac:dyDescent="0.2">
      <c r="C920" s="5"/>
      <c r="I920" s="5"/>
      <c r="L920" s="5"/>
      <c r="M920" s="5"/>
      <c r="N920" s="5"/>
      <c r="P920" s="5"/>
      <c r="Q920" s="5"/>
      <c r="R920" s="5"/>
      <c r="S920" s="5"/>
      <c r="U920" s="5"/>
      <c r="W920" s="5"/>
    </row>
    <row r="921" spans="3:23" x14ac:dyDescent="0.2">
      <c r="C921" s="5"/>
      <c r="I921" s="5"/>
      <c r="L921" s="5"/>
      <c r="M921" s="5"/>
      <c r="N921" s="5"/>
      <c r="P921" s="5"/>
      <c r="Q921" s="5"/>
      <c r="R921" s="5"/>
      <c r="S921" s="5"/>
      <c r="U921" s="5"/>
      <c r="W921" s="5"/>
    </row>
    <row r="922" spans="3:23" x14ac:dyDescent="0.2">
      <c r="C922" s="5"/>
      <c r="I922" s="5"/>
      <c r="L922" s="5"/>
      <c r="M922" s="5"/>
      <c r="N922" s="5"/>
      <c r="P922" s="5"/>
      <c r="Q922" s="5"/>
      <c r="R922" s="5"/>
      <c r="S922" s="5"/>
      <c r="U922" s="5"/>
      <c r="W922" s="5"/>
    </row>
    <row r="923" spans="3:23" x14ac:dyDescent="0.2">
      <c r="C923" s="5"/>
      <c r="I923" s="5"/>
      <c r="L923" s="5"/>
      <c r="M923" s="5"/>
      <c r="N923" s="5"/>
      <c r="P923" s="5"/>
      <c r="Q923" s="5"/>
      <c r="R923" s="5"/>
      <c r="S923" s="5"/>
      <c r="U923" s="5"/>
      <c r="W923" s="5"/>
    </row>
    <row r="924" spans="3:23" x14ac:dyDescent="0.2">
      <c r="C924" s="5"/>
      <c r="I924" s="5"/>
      <c r="L924" s="5"/>
      <c r="M924" s="5"/>
      <c r="N924" s="5"/>
      <c r="P924" s="5"/>
      <c r="Q924" s="5"/>
      <c r="R924" s="5"/>
      <c r="S924" s="5"/>
      <c r="U924" s="5"/>
      <c r="W924" s="5"/>
    </row>
    <row r="925" spans="3:23" x14ac:dyDescent="0.2">
      <c r="C925" s="5"/>
      <c r="I925" s="5"/>
      <c r="L925" s="5"/>
      <c r="M925" s="5"/>
      <c r="N925" s="5"/>
      <c r="P925" s="5"/>
      <c r="Q925" s="5"/>
      <c r="R925" s="5"/>
      <c r="S925" s="5"/>
      <c r="U925" s="5"/>
      <c r="W925" s="5"/>
    </row>
    <row r="926" spans="3:23" x14ac:dyDescent="0.2">
      <c r="C926" s="5"/>
      <c r="I926" s="5"/>
      <c r="L926" s="5"/>
      <c r="M926" s="5"/>
      <c r="N926" s="5"/>
      <c r="P926" s="5"/>
      <c r="Q926" s="5"/>
      <c r="R926" s="5"/>
      <c r="S926" s="5"/>
      <c r="U926" s="5"/>
      <c r="W926" s="5"/>
    </row>
    <row r="927" spans="3:23" x14ac:dyDescent="0.2">
      <c r="C927" s="5"/>
      <c r="I927" s="5"/>
      <c r="L927" s="5"/>
      <c r="M927" s="5"/>
      <c r="N927" s="5"/>
      <c r="P927" s="5"/>
      <c r="Q927" s="5"/>
      <c r="R927" s="5"/>
      <c r="S927" s="5"/>
      <c r="U927" s="5"/>
      <c r="W927" s="5"/>
    </row>
    <row r="928" spans="3:23" x14ac:dyDescent="0.2">
      <c r="C928" s="5"/>
      <c r="I928" s="5"/>
      <c r="L928" s="5"/>
      <c r="M928" s="5"/>
      <c r="N928" s="5"/>
      <c r="P928" s="5"/>
      <c r="Q928" s="5"/>
      <c r="R928" s="5"/>
      <c r="S928" s="5"/>
      <c r="U928" s="5"/>
      <c r="W928" s="5"/>
    </row>
    <row r="929" spans="3:23" x14ac:dyDescent="0.2">
      <c r="C929" s="5"/>
      <c r="I929" s="5"/>
      <c r="L929" s="5"/>
      <c r="M929" s="5"/>
      <c r="N929" s="5"/>
      <c r="P929" s="5"/>
      <c r="Q929" s="5"/>
      <c r="R929" s="5"/>
      <c r="S929" s="5"/>
      <c r="U929" s="5"/>
      <c r="W929" s="5"/>
    </row>
    <row r="930" spans="3:23" x14ac:dyDescent="0.2">
      <c r="C930" s="5"/>
      <c r="I930" s="5"/>
      <c r="L930" s="5"/>
      <c r="M930" s="5"/>
      <c r="N930" s="5"/>
      <c r="P930" s="5"/>
      <c r="Q930" s="5"/>
      <c r="R930" s="5"/>
      <c r="S930" s="5"/>
      <c r="U930" s="5"/>
      <c r="W930" s="5"/>
    </row>
    <row r="931" spans="3:23" x14ac:dyDescent="0.2">
      <c r="C931" s="5"/>
      <c r="I931" s="5"/>
      <c r="L931" s="5"/>
      <c r="M931" s="5"/>
      <c r="N931" s="5"/>
      <c r="P931" s="5"/>
      <c r="Q931" s="5"/>
      <c r="R931" s="5"/>
      <c r="S931" s="5"/>
      <c r="U931" s="5"/>
      <c r="W931" s="5"/>
    </row>
    <row r="932" spans="3:23" x14ac:dyDescent="0.2">
      <c r="C932" s="5"/>
      <c r="I932" s="5"/>
      <c r="L932" s="5"/>
      <c r="M932" s="5"/>
      <c r="N932" s="5"/>
      <c r="P932" s="5"/>
      <c r="Q932" s="5"/>
      <c r="R932" s="5"/>
      <c r="S932" s="5"/>
      <c r="U932" s="5"/>
      <c r="W932" s="5"/>
    </row>
    <row r="933" spans="3:23" x14ac:dyDescent="0.2">
      <c r="C933" s="5"/>
      <c r="I933" s="5"/>
      <c r="L933" s="5"/>
      <c r="M933" s="5"/>
      <c r="N933" s="5"/>
      <c r="P933" s="5"/>
      <c r="Q933" s="5"/>
      <c r="R933" s="5"/>
      <c r="S933" s="5"/>
      <c r="U933" s="5"/>
      <c r="W933" s="5"/>
    </row>
    <row r="934" spans="3:23" x14ac:dyDescent="0.2">
      <c r="C934" s="5"/>
      <c r="I934" s="5"/>
      <c r="L934" s="5"/>
      <c r="M934" s="5"/>
      <c r="N934" s="5"/>
      <c r="P934" s="5"/>
      <c r="Q934" s="5"/>
      <c r="R934" s="5"/>
      <c r="S934" s="5"/>
      <c r="U934" s="5"/>
      <c r="W934" s="5"/>
    </row>
    <row r="935" spans="3:23" x14ac:dyDescent="0.2">
      <c r="C935" s="5"/>
      <c r="I935" s="5"/>
      <c r="L935" s="5"/>
      <c r="M935" s="5"/>
      <c r="N935" s="5"/>
      <c r="P935" s="5"/>
      <c r="Q935" s="5"/>
      <c r="R935" s="5"/>
      <c r="S935" s="5"/>
      <c r="U935" s="5"/>
      <c r="W935" s="5"/>
    </row>
    <row r="936" spans="3:23" x14ac:dyDescent="0.2">
      <c r="C936" s="5"/>
      <c r="I936" s="5"/>
      <c r="L936" s="5"/>
      <c r="M936" s="5"/>
      <c r="N936" s="5"/>
      <c r="P936" s="5"/>
      <c r="Q936" s="5"/>
      <c r="R936" s="5"/>
      <c r="S936" s="5"/>
      <c r="U936" s="5"/>
      <c r="W936" s="5"/>
    </row>
    <row r="937" spans="3:23" x14ac:dyDescent="0.2">
      <c r="C937" s="5"/>
      <c r="I937" s="5"/>
      <c r="L937" s="5"/>
      <c r="M937" s="5"/>
      <c r="N937" s="5"/>
      <c r="P937" s="5"/>
      <c r="Q937" s="5"/>
      <c r="R937" s="5"/>
      <c r="S937" s="5"/>
      <c r="U937" s="5"/>
      <c r="W937" s="5"/>
    </row>
    <row r="938" spans="3:23" x14ac:dyDescent="0.2">
      <c r="C938" s="5"/>
      <c r="I938" s="5"/>
      <c r="L938" s="5"/>
      <c r="M938" s="5"/>
      <c r="N938" s="5"/>
      <c r="P938" s="5"/>
      <c r="Q938" s="5"/>
      <c r="R938" s="5"/>
      <c r="S938" s="5"/>
      <c r="U938" s="5"/>
      <c r="W938" s="5"/>
    </row>
    <row r="939" spans="3:23" x14ac:dyDescent="0.2">
      <c r="C939" s="5"/>
      <c r="I939" s="5"/>
      <c r="L939" s="5"/>
      <c r="M939" s="5"/>
      <c r="N939" s="5"/>
      <c r="P939" s="5"/>
      <c r="Q939" s="5"/>
      <c r="R939" s="5"/>
      <c r="S939" s="5"/>
      <c r="U939" s="5"/>
      <c r="W939" s="5"/>
    </row>
    <row r="940" spans="3:23" x14ac:dyDescent="0.2">
      <c r="C940" s="5"/>
      <c r="I940" s="5"/>
      <c r="L940" s="5"/>
      <c r="M940" s="5"/>
      <c r="N940" s="5"/>
      <c r="P940" s="5"/>
      <c r="Q940" s="5"/>
      <c r="R940" s="5"/>
      <c r="S940" s="5"/>
      <c r="U940" s="5"/>
      <c r="W940" s="5"/>
    </row>
    <row r="941" spans="3:23" x14ac:dyDescent="0.2">
      <c r="C941" s="5"/>
      <c r="I941" s="5"/>
      <c r="L941" s="5"/>
      <c r="M941" s="5"/>
      <c r="N941" s="5"/>
      <c r="P941" s="5"/>
      <c r="Q941" s="5"/>
      <c r="R941" s="5"/>
      <c r="S941" s="5"/>
      <c r="U941" s="5"/>
      <c r="W941" s="5"/>
    </row>
    <row r="942" spans="3:23" x14ac:dyDescent="0.2">
      <c r="C942" s="5"/>
      <c r="I942" s="5"/>
      <c r="L942" s="5"/>
      <c r="M942" s="5"/>
      <c r="N942" s="5"/>
      <c r="P942" s="5"/>
      <c r="Q942" s="5"/>
      <c r="R942" s="5"/>
      <c r="S942" s="5"/>
      <c r="U942" s="5"/>
      <c r="W942" s="5"/>
    </row>
    <row r="943" spans="3:23" x14ac:dyDescent="0.2">
      <c r="C943" s="5"/>
      <c r="I943" s="5"/>
      <c r="L943" s="5"/>
      <c r="M943" s="5"/>
      <c r="N943" s="5"/>
      <c r="P943" s="5"/>
      <c r="Q943" s="5"/>
      <c r="R943" s="5"/>
      <c r="S943" s="5"/>
      <c r="U943" s="5"/>
      <c r="W943" s="5"/>
    </row>
    <row r="944" spans="3:23" x14ac:dyDescent="0.2">
      <c r="C944" s="5"/>
      <c r="I944" s="5"/>
      <c r="L944" s="5"/>
      <c r="M944" s="5"/>
      <c r="N944" s="5"/>
      <c r="P944" s="5"/>
      <c r="Q944" s="5"/>
      <c r="R944" s="5"/>
      <c r="S944" s="5"/>
      <c r="U944" s="5"/>
      <c r="W944" s="5"/>
    </row>
    <row r="945" spans="3:23" x14ac:dyDescent="0.2">
      <c r="C945" s="5"/>
      <c r="I945" s="5"/>
      <c r="L945" s="5"/>
      <c r="M945" s="5"/>
      <c r="N945" s="5"/>
      <c r="P945" s="5"/>
      <c r="Q945" s="5"/>
      <c r="R945" s="5"/>
      <c r="S945" s="5"/>
      <c r="U945" s="5"/>
      <c r="W945" s="5"/>
    </row>
    <row r="946" spans="3:23" x14ac:dyDescent="0.2">
      <c r="C946" s="5"/>
      <c r="I946" s="5"/>
      <c r="L946" s="5"/>
      <c r="M946" s="5"/>
      <c r="N946" s="5"/>
      <c r="P946" s="5"/>
      <c r="Q946" s="5"/>
      <c r="R946" s="5"/>
      <c r="S946" s="5"/>
      <c r="U946" s="5"/>
      <c r="W946" s="5"/>
    </row>
    <row r="947" spans="3:23" x14ac:dyDescent="0.2">
      <c r="C947" s="5"/>
      <c r="I947" s="5"/>
      <c r="L947" s="5"/>
      <c r="M947" s="5"/>
      <c r="N947" s="5"/>
      <c r="P947" s="5"/>
      <c r="Q947" s="5"/>
      <c r="R947" s="5"/>
      <c r="S947" s="5"/>
      <c r="U947" s="5"/>
      <c r="W947" s="5"/>
    </row>
    <row r="948" spans="3:23" x14ac:dyDescent="0.2">
      <c r="C948" s="5"/>
      <c r="I948" s="5"/>
      <c r="L948" s="5"/>
      <c r="M948" s="5"/>
      <c r="N948" s="5"/>
      <c r="P948" s="5"/>
      <c r="Q948" s="5"/>
      <c r="R948" s="5"/>
      <c r="S948" s="5"/>
      <c r="U948" s="5"/>
      <c r="W948" s="5"/>
    </row>
    <row r="949" spans="3:23" x14ac:dyDescent="0.2">
      <c r="C949" s="5"/>
      <c r="I949" s="5"/>
      <c r="L949" s="5"/>
      <c r="M949" s="5"/>
      <c r="N949" s="5"/>
      <c r="P949" s="5"/>
      <c r="Q949" s="5"/>
      <c r="R949" s="5"/>
      <c r="S949" s="5"/>
      <c r="U949" s="5"/>
      <c r="W949" s="5"/>
    </row>
    <row r="950" spans="3:23" x14ac:dyDescent="0.2">
      <c r="C950" s="5"/>
      <c r="I950" s="5"/>
      <c r="L950" s="5"/>
      <c r="M950" s="5"/>
      <c r="N950" s="5"/>
      <c r="P950" s="5"/>
      <c r="Q950" s="5"/>
      <c r="R950" s="5"/>
      <c r="S950" s="5"/>
      <c r="U950" s="5"/>
      <c r="W950" s="5"/>
    </row>
    <row r="951" spans="3:23" x14ac:dyDescent="0.2">
      <c r="C951" s="5"/>
      <c r="I951" s="5"/>
      <c r="L951" s="5"/>
      <c r="M951" s="5"/>
      <c r="N951" s="5"/>
      <c r="P951" s="5"/>
      <c r="Q951" s="5"/>
      <c r="R951" s="5"/>
      <c r="S951" s="5"/>
      <c r="U951" s="5"/>
      <c r="W951" s="5"/>
    </row>
    <row r="952" spans="3:23" x14ac:dyDescent="0.2">
      <c r="C952" s="5"/>
      <c r="I952" s="5"/>
      <c r="L952" s="5"/>
      <c r="M952" s="5"/>
      <c r="N952" s="5"/>
      <c r="P952" s="5"/>
      <c r="Q952" s="5"/>
      <c r="R952" s="5"/>
      <c r="S952" s="5"/>
      <c r="U952" s="5"/>
      <c r="W952" s="5"/>
    </row>
    <row r="953" spans="3:23" x14ac:dyDescent="0.2">
      <c r="C953" s="5"/>
      <c r="I953" s="5"/>
      <c r="L953" s="5"/>
      <c r="M953" s="5"/>
      <c r="N953" s="5"/>
      <c r="P953" s="5"/>
      <c r="Q953" s="5"/>
      <c r="R953" s="5"/>
      <c r="S953" s="5"/>
      <c r="U953" s="5"/>
      <c r="W953" s="5"/>
    </row>
    <row r="954" spans="3:23" x14ac:dyDescent="0.2">
      <c r="C954" s="5"/>
      <c r="I954" s="5"/>
      <c r="L954" s="5"/>
      <c r="M954" s="5"/>
      <c r="N954" s="5"/>
      <c r="P954" s="5"/>
      <c r="Q954" s="5"/>
      <c r="R954" s="5"/>
      <c r="S954" s="5"/>
      <c r="U954" s="5"/>
      <c r="W954" s="5"/>
    </row>
    <row r="955" spans="3:23" x14ac:dyDescent="0.2">
      <c r="C955" s="5"/>
      <c r="I955" s="5"/>
      <c r="L955" s="5"/>
      <c r="M955" s="5"/>
      <c r="N955" s="5"/>
      <c r="P955" s="5"/>
      <c r="Q955" s="5"/>
      <c r="R955" s="5"/>
      <c r="S955" s="5"/>
      <c r="U955" s="5"/>
      <c r="W955" s="5"/>
    </row>
    <row r="956" spans="3:23" x14ac:dyDescent="0.2">
      <c r="C956" s="5"/>
      <c r="I956" s="5"/>
      <c r="L956" s="5"/>
      <c r="M956" s="5"/>
      <c r="N956" s="5"/>
      <c r="P956" s="5"/>
      <c r="Q956" s="5"/>
      <c r="R956" s="5"/>
      <c r="S956" s="5"/>
      <c r="U956" s="5"/>
      <c r="W956" s="5"/>
    </row>
    <row r="957" spans="3:23" x14ac:dyDescent="0.2">
      <c r="C957" s="5"/>
      <c r="I957" s="5"/>
      <c r="L957" s="5"/>
      <c r="M957" s="5"/>
      <c r="N957" s="5"/>
      <c r="P957" s="5"/>
      <c r="Q957" s="5"/>
      <c r="R957" s="5"/>
      <c r="S957" s="5"/>
      <c r="U957" s="5"/>
      <c r="W957" s="5"/>
    </row>
    <row r="958" spans="3:23" x14ac:dyDescent="0.2">
      <c r="C958" s="5"/>
      <c r="I958" s="5"/>
      <c r="L958" s="5"/>
      <c r="M958" s="5"/>
      <c r="N958" s="5"/>
      <c r="P958" s="5"/>
      <c r="Q958" s="5"/>
      <c r="R958" s="5"/>
      <c r="S958" s="5"/>
      <c r="U958" s="5"/>
      <c r="W958" s="5"/>
    </row>
    <row r="959" spans="3:23" x14ac:dyDescent="0.2">
      <c r="C959" s="5"/>
      <c r="I959" s="5"/>
      <c r="L959" s="5"/>
      <c r="M959" s="5"/>
      <c r="N959" s="5"/>
      <c r="P959" s="5"/>
      <c r="Q959" s="5"/>
      <c r="R959" s="5"/>
      <c r="S959" s="5"/>
      <c r="U959" s="5"/>
      <c r="W959" s="5"/>
    </row>
    <row r="960" spans="3:23" x14ac:dyDescent="0.2">
      <c r="C960" s="5"/>
      <c r="I960" s="5"/>
      <c r="L960" s="5"/>
      <c r="M960" s="5"/>
      <c r="N960" s="5"/>
      <c r="P960" s="5"/>
      <c r="Q960" s="5"/>
      <c r="R960" s="5"/>
      <c r="S960" s="5"/>
      <c r="U960" s="5"/>
      <c r="W960" s="5"/>
    </row>
    <row r="961" spans="3:23" x14ac:dyDescent="0.2">
      <c r="C961" s="5"/>
      <c r="I961" s="5"/>
      <c r="L961" s="5"/>
      <c r="M961" s="5"/>
      <c r="N961" s="5"/>
      <c r="P961" s="5"/>
      <c r="Q961" s="5"/>
      <c r="R961" s="5"/>
      <c r="S961" s="5"/>
      <c r="U961" s="5"/>
      <c r="W961" s="5"/>
    </row>
    <row r="962" spans="3:23" x14ac:dyDescent="0.2">
      <c r="C962" s="5"/>
      <c r="I962" s="5"/>
      <c r="L962" s="5"/>
      <c r="M962" s="5"/>
      <c r="N962" s="5"/>
      <c r="P962" s="5"/>
      <c r="Q962" s="5"/>
      <c r="R962" s="5"/>
      <c r="S962" s="5"/>
      <c r="U962" s="5"/>
      <c r="W962" s="5"/>
    </row>
    <row r="963" spans="3:23" x14ac:dyDescent="0.2">
      <c r="C963" s="5"/>
      <c r="I963" s="5"/>
      <c r="L963" s="5"/>
      <c r="M963" s="5"/>
      <c r="N963" s="5"/>
      <c r="P963" s="5"/>
      <c r="Q963" s="5"/>
      <c r="R963" s="5"/>
      <c r="S963" s="5"/>
      <c r="U963" s="5"/>
      <c r="W963" s="5"/>
    </row>
    <row r="964" spans="3:23" x14ac:dyDescent="0.2">
      <c r="C964" s="5"/>
      <c r="I964" s="5"/>
      <c r="L964" s="5"/>
      <c r="M964" s="5"/>
      <c r="N964" s="5"/>
      <c r="P964" s="5"/>
      <c r="Q964" s="5"/>
      <c r="R964" s="5"/>
      <c r="S964" s="5"/>
      <c r="U964" s="5"/>
      <c r="W964" s="5"/>
    </row>
    <row r="965" spans="3:23" x14ac:dyDescent="0.2">
      <c r="C965" s="5"/>
      <c r="I965" s="5"/>
      <c r="L965" s="5"/>
      <c r="M965" s="5"/>
      <c r="N965" s="5"/>
      <c r="P965" s="5"/>
      <c r="Q965" s="5"/>
      <c r="R965" s="5"/>
      <c r="S965" s="5"/>
      <c r="U965" s="5"/>
      <c r="W965" s="5"/>
    </row>
    <row r="966" spans="3:23" x14ac:dyDescent="0.2">
      <c r="C966" s="5"/>
      <c r="I966" s="5"/>
      <c r="L966" s="5"/>
      <c r="M966" s="5"/>
      <c r="N966" s="5"/>
      <c r="P966" s="5"/>
      <c r="Q966" s="5"/>
      <c r="R966" s="5"/>
      <c r="S966" s="5"/>
      <c r="U966" s="5"/>
      <c r="W966" s="5"/>
    </row>
    <row r="967" spans="3:23" x14ac:dyDescent="0.2">
      <c r="C967" s="5"/>
      <c r="I967" s="5"/>
      <c r="L967" s="5"/>
      <c r="M967" s="5"/>
      <c r="N967" s="5"/>
      <c r="P967" s="5"/>
      <c r="Q967" s="5"/>
      <c r="R967" s="5"/>
      <c r="S967" s="5"/>
      <c r="U967" s="5"/>
      <c r="W967" s="5"/>
    </row>
    <row r="968" spans="3:23" x14ac:dyDescent="0.2">
      <c r="C968" s="5"/>
      <c r="I968" s="5"/>
      <c r="L968" s="5"/>
      <c r="M968" s="5"/>
      <c r="N968" s="5"/>
      <c r="P968" s="5"/>
      <c r="Q968" s="5"/>
      <c r="R968" s="5"/>
      <c r="S968" s="5"/>
      <c r="U968" s="5"/>
      <c r="W968" s="5"/>
    </row>
    <row r="969" spans="3:23" x14ac:dyDescent="0.2">
      <c r="C969" s="5"/>
      <c r="I969" s="5"/>
      <c r="L969" s="5"/>
      <c r="M969" s="5"/>
      <c r="N969" s="5"/>
      <c r="P969" s="5"/>
      <c r="Q969" s="5"/>
      <c r="R969" s="5"/>
      <c r="S969" s="5"/>
      <c r="U969" s="5"/>
      <c r="W969" s="5"/>
    </row>
    <row r="970" spans="3:23" x14ac:dyDescent="0.2">
      <c r="C970" s="5"/>
      <c r="I970" s="5"/>
      <c r="L970" s="5"/>
      <c r="M970" s="5"/>
      <c r="N970" s="5"/>
      <c r="P970" s="5"/>
      <c r="Q970" s="5"/>
      <c r="R970" s="5"/>
      <c r="S970" s="5"/>
      <c r="U970" s="5"/>
      <c r="W970" s="5"/>
    </row>
    <row r="971" spans="3:23" x14ac:dyDescent="0.2">
      <c r="C971" s="5"/>
      <c r="I971" s="5"/>
      <c r="L971" s="5"/>
      <c r="M971" s="5"/>
      <c r="N971" s="5"/>
      <c r="P971" s="5"/>
      <c r="Q971" s="5"/>
      <c r="R971" s="5"/>
      <c r="S971" s="5"/>
      <c r="U971" s="5"/>
      <c r="W971" s="5"/>
    </row>
    <row r="972" spans="3:23" x14ac:dyDescent="0.2">
      <c r="C972" s="5"/>
      <c r="I972" s="5"/>
      <c r="L972" s="5"/>
      <c r="M972" s="5"/>
      <c r="N972" s="5"/>
      <c r="P972" s="5"/>
      <c r="Q972" s="5"/>
      <c r="R972" s="5"/>
      <c r="S972" s="5"/>
      <c r="U972" s="5"/>
      <c r="W972" s="5"/>
    </row>
    <row r="973" spans="3:23" x14ac:dyDescent="0.2">
      <c r="C973" s="5"/>
      <c r="I973" s="5"/>
      <c r="L973" s="5"/>
      <c r="M973" s="5"/>
      <c r="N973" s="5"/>
      <c r="P973" s="5"/>
      <c r="Q973" s="5"/>
      <c r="R973" s="5"/>
      <c r="S973" s="5"/>
      <c r="U973" s="5"/>
      <c r="W973" s="5"/>
    </row>
    <row r="974" spans="3:23" x14ac:dyDescent="0.2">
      <c r="C974" s="5"/>
      <c r="I974" s="5"/>
      <c r="L974" s="5"/>
      <c r="M974" s="5"/>
      <c r="N974" s="5"/>
      <c r="P974" s="5"/>
      <c r="Q974" s="5"/>
      <c r="R974" s="5"/>
      <c r="S974" s="5"/>
      <c r="U974" s="5"/>
      <c r="W974" s="5"/>
    </row>
    <row r="975" spans="3:23" x14ac:dyDescent="0.2">
      <c r="C975" s="5"/>
      <c r="I975" s="5"/>
      <c r="L975" s="5"/>
      <c r="M975" s="5"/>
      <c r="N975" s="5"/>
      <c r="P975" s="5"/>
      <c r="Q975" s="5"/>
      <c r="R975" s="5"/>
      <c r="S975" s="5"/>
      <c r="U975" s="5"/>
      <c r="W975" s="5"/>
    </row>
    <row r="976" spans="3:23" x14ac:dyDescent="0.2">
      <c r="C976" s="5"/>
      <c r="I976" s="5"/>
      <c r="L976" s="5"/>
      <c r="M976" s="5"/>
      <c r="N976" s="5"/>
      <c r="P976" s="5"/>
      <c r="Q976" s="5"/>
      <c r="R976" s="5"/>
      <c r="S976" s="5"/>
      <c r="U976" s="5"/>
      <c r="W976" s="5"/>
    </row>
    <row r="977" spans="3:23" x14ac:dyDescent="0.2">
      <c r="C977" s="5"/>
      <c r="I977" s="5"/>
      <c r="L977" s="5"/>
      <c r="M977" s="5"/>
      <c r="N977" s="5"/>
      <c r="P977" s="5"/>
      <c r="Q977" s="5"/>
      <c r="R977" s="5"/>
      <c r="S977" s="5"/>
      <c r="U977" s="5"/>
      <c r="W977" s="5"/>
    </row>
    <row r="978" spans="3:23" x14ac:dyDescent="0.2">
      <c r="C978" s="5"/>
      <c r="I978" s="5"/>
      <c r="L978" s="5"/>
      <c r="M978" s="5"/>
      <c r="N978" s="5"/>
      <c r="P978" s="5"/>
      <c r="Q978" s="5"/>
      <c r="R978" s="5"/>
      <c r="S978" s="5"/>
      <c r="U978" s="5"/>
      <c r="W978" s="5"/>
    </row>
    <row r="979" spans="3:23" x14ac:dyDescent="0.2">
      <c r="C979" s="5"/>
      <c r="I979" s="5"/>
      <c r="L979" s="5"/>
      <c r="M979" s="5"/>
      <c r="N979" s="5"/>
      <c r="P979" s="5"/>
      <c r="Q979" s="5"/>
      <c r="R979" s="5"/>
      <c r="S979" s="5"/>
      <c r="U979" s="5"/>
      <c r="W979" s="5"/>
    </row>
    <row r="980" spans="3:23" x14ac:dyDescent="0.2">
      <c r="C980" s="5"/>
      <c r="I980" s="5"/>
      <c r="L980" s="5"/>
      <c r="M980" s="5"/>
      <c r="N980" s="5"/>
      <c r="P980" s="5"/>
      <c r="Q980" s="5"/>
      <c r="R980" s="5"/>
      <c r="S980" s="5"/>
      <c r="U980" s="5"/>
      <c r="W980" s="5"/>
    </row>
    <row r="981" spans="3:23" x14ac:dyDescent="0.2">
      <c r="C981" s="5"/>
      <c r="I981" s="5"/>
      <c r="L981" s="5"/>
      <c r="M981" s="5"/>
      <c r="N981" s="5"/>
      <c r="P981" s="5"/>
      <c r="Q981" s="5"/>
      <c r="R981" s="5"/>
      <c r="S981" s="5"/>
      <c r="U981" s="5"/>
      <c r="W981" s="5"/>
    </row>
    <row r="982" spans="3:23" x14ac:dyDescent="0.2">
      <c r="C982" s="5"/>
      <c r="I982" s="5"/>
      <c r="L982" s="5"/>
      <c r="M982" s="5"/>
      <c r="N982" s="5"/>
      <c r="P982" s="5"/>
      <c r="Q982" s="5"/>
      <c r="R982" s="5"/>
      <c r="S982" s="5"/>
      <c r="U982" s="5"/>
      <c r="W982" s="5"/>
    </row>
    <row r="983" spans="3:23" x14ac:dyDescent="0.2">
      <c r="C983" s="5"/>
      <c r="I983" s="5"/>
      <c r="L983" s="5"/>
      <c r="M983" s="5"/>
      <c r="N983" s="5"/>
      <c r="P983" s="5"/>
      <c r="Q983" s="5"/>
      <c r="R983" s="5"/>
      <c r="S983" s="5"/>
      <c r="U983" s="5"/>
      <c r="W983" s="5"/>
    </row>
    <row r="984" spans="3:23" x14ac:dyDescent="0.2">
      <c r="C984" s="5"/>
      <c r="I984" s="5"/>
      <c r="L984" s="5"/>
      <c r="M984" s="5"/>
      <c r="N984" s="5"/>
      <c r="P984" s="5"/>
      <c r="Q984" s="5"/>
      <c r="R984" s="5"/>
      <c r="S984" s="5"/>
      <c r="U984" s="5"/>
      <c r="W984" s="5"/>
    </row>
    <row r="985" spans="3:23" x14ac:dyDescent="0.2">
      <c r="C985" s="5"/>
      <c r="I985" s="5"/>
      <c r="L985" s="5"/>
      <c r="M985" s="5"/>
      <c r="N985" s="5"/>
      <c r="P985" s="5"/>
      <c r="Q985" s="5"/>
      <c r="R985" s="5"/>
      <c r="S985" s="5"/>
      <c r="U985" s="5"/>
      <c r="W985" s="5"/>
    </row>
    <row r="986" spans="3:23" x14ac:dyDescent="0.2">
      <c r="C986" s="5"/>
      <c r="I986" s="5"/>
      <c r="L986" s="5"/>
      <c r="M986" s="5"/>
      <c r="N986" s="5"/>
      <c r="P986" s="5"/>
      <c r="Q986" s="5"/>
      <c r="R986" s="5"/>
      <c r="S986" s="5"/>
      <c r="U986" s="5"/>
      <c r="W986" s="5"/>
    </row>
    <row r="987" spans="3:23" x14ac:dyDescent="0.2">
      <c r="C987" s="5"/>
      <c r="I987" s="5"/>
      <c r="L987" s="5"/>
      <c r="M987" s="5"/>
      <c r="N987" s="5"/>
      <c r="P987" s="5"/>
      <c r="Q987" s="5"/>
      <c r="R987" s="5"/>
      <c r="S987" s="5"/>
      <c r="U987" s="5"/>
      <c r="W987" s="5"/>
    </row>
    <row r="988" spans="3:23" x14ac:dyDescent="0.2">
      <c r="C988" s="5"/>
      <c r="I988" s="5"/>
      <c r="L988" s="5"/>
      <c r="M988" s="5"/>
      <c r="N988" s="5"/>
      <c r="P988" s="5"/>
      <c r="Q988" s="5"/>
      <c r="R988" s="5"/>
      <c r="S988" s="5"/>
      <c r="U988" s="5"/>
      <c r="W988" s="5"/>
    </row>
    <row r="989" spans="3:23" x14ac:dyDescent="0.2">
      <c r="C989" s="5"/>
      <c r="I989" s="5"/>
      <c r="L989" s="5"/>
      <c r="M989" s="5"/>
      <c r="N989" s="5"/>
      <c r="P989" s="5"/>
      <c r="Q989" s="5"/>
      <c r="R989" s="5"/>
      <c r="S989" s="5"/>
      <c r="U989" s="5"/>
      <c r="W989" s="5"/>
    </row>
    <row r="990" spans="3:23" x14ac:dyDescent="0.2">
      <c r="C990" s="5"/>
      <c r="I990" s="5"/>
      <c r="L990" s="5"/>
      <c r="M990" s="5"/>
      <c r="N990" s="5"/>
      <c r="P990" s="5"/>
      <c r="Q990" s="5"/>
      <c r="R990" s="5"/>
      <c r="S990" s="5"/>
      <c r="U990" s="5"/>
      <c r="W990" s="5"/>
    </row>
    <row r="991" spans="3:23" x14ac:dyDescent="0.2">
      <c r="C991" s="5"/>
      <c r="I991" s="5"/>
      <c r="L991" s="5"/>
      <c r="M991" s="5"/>
      <c r="N991" s="5"/>
      <c r="P991" s="5"/>
      <c r="Q991" s="5"/>
      <c r="R991" s="5"/>
      <c r="S991" s="5"/>
      <c r="U991" s="5"/>
      <c r="W991" s="5"/>
    </row>
    <row r="992" spans="3:23" x14ac:dyDescent="0.2">
      <c r="C992" s="5"/>
      <c r="I992" s="5"/>
      <c r="L992" s="5"/>
      <c r="M992" s="5"/>
      <c r="N992" s="5"/>
      <c r="P992" s="5"/>
      <c r="Q992" s="5"/>
      <c r="R992" s="5"/>
      <c r="S992" s="5"/>
      <c r="U992" s="5"/>
      <c r="W992" s="5"/>
    </row>
    <row r="993" spans="3:23" x14ac:dyDescent="0.2">
      <c r="C993" s="5"/>
      <c r="I993" s="5"/>
      <c r="L993" s="5"/>
      <c r="M993" s="5"/>
      <c r="N993" s="5"/>
      <c r="P993" s="5"/>
      <c r="Q993" s="5"/>
      <c r="R993" s="5"/>
      <c r="S993" s="5"/>
      <c r="U993" s="5"/>
      <c r="W993" s="5"/>
    </row>
    <row r="994" spans="3:23" x14ac:dyDescent="0.2">
      <c r="C994" s="5"/>
      <c r="I994" s="5"/>
      <c r="L994" s="5"/>
      <c r="M994" s="5"/>
      <c r="N994" s="5"/>
      <c r="P994" s="5"/>
      <c r="Q994" s="5"/>
      <c r="R994" s="5"/>
      <c r="S994" s="5"/>
      <c r="U994" s="5"/>
      <c r="W994" s="5"/>
    </row>
    <row r="995" spans="3:23" x14ac:dyDescent="0.2">
      <c r="C995" s="5"/>
      <c r="I995" s="5"/>
      <c r="L995" s="5"/>
      <c r="M995" s="5"/>
      <c r="N995" s="5"/>
      <c r="P995" s="5"/>
      <c r="Q995" s="5"/>
      <c r="R995" s="5"/>
      <c r="S995" s="5"/>
      <c r="U995" s="5"/>
      <c r="W995" s="5"/>
    </row>
    <row r="996" spans="3:23" x14ac:dyDescent="0.2">
      <c r="C996" s="5"/>
      <c r="I996" s="5"/>
      <c r="L996" s="5"/>
      <c r="M996" s="5"/>
      <c r="N996" s="5"/>
      <c r="P996" s="5"/>
      <c r="Q996" s="5"/>
      <c r="R996" s="5"/>
      <c r="S996" s="5"/>
      <c r="U996" s="5"/>
      <c r="W996" s="5"/>
    </row>
    <row r="997" spans="3:23" x14ac:dyDescent="0.2">
      <c r="C997" s="5"/>
      <c r="I997" s="5"/>
      <c r="L997" s="5"/>
      <c r="M997" s="5"/>
      <c r="N997" s="5"/>
      <c r="P997" s="5"/>
      <c r="Q997" s="5"/>
      <c r="R997" s="5"/>
      <c r="S997" s="5"/>
      <c r="U997" s="5"/>
      <c r="W997" s="5"/>
    </row>
    <row r="998" spans="3:23" x14ac:dyDescent="0.2">
      <c r="C998" s="5"/>
      <c r="I998" s="5"/>
      <c r="L998" s="5"/>
      <c r="M998" s="5"/>
      <c r="N998" s="5"/>
      <c r="P998" s="5"/>
      <c r="Q998" s="5"/>
      <c r="R998" s="5"/>
      <c r="S998" s="5"/>
      <c r="U998" s="5"/>
      <c r="W998" s="5"/>
    </row>
    <row r="999" spans="3:23" x14ac:dyDescent="0.2">
      <c r="C999" s="5"/>
      <c r="I999" s="5"/>
      <c r="L999" s="5"/>
      <c r="M999" s="5"/>
      <c r="N999" s="5"/>
      <c r="P999" s="5"/>
      <c r="Q999" s="5"/>
      <c r="R999" s="5"/>
      <c r="S999" s="5"/>
      <c r="U999" s="5"/>
      <c r="W999" s="5"/>
    </row>
    <row r="1000" spans="3:23" x14ac:dyDescent="0.2">
      <c r="C1000" s="5"/>
      <c r="I1000" s="5"/>
      <c r="L1000" s="5"/>
      <c r="M1000" s="5"/>
      <c r="N1000" s="5"/>
      <c r="P1000" s="5"/>
      <c r="Q1000" s="5"/>
      <c r="R1000" s="5"/>
      <c r="S1000" s="5"/>
      <c r="U1000" s="5"/>
      <c r="W1000" s="5"/>
    </row>
    <row r="1001" spans="3:23" x14ac:dyDescent="0.2">
      <c r="C1001" s="5"/>
      <c r="I1001" s="5"/>
      <c r="L1001" s="5"/>
      <c r="M1001" s="5"/>
      <c r="N1001" s="5"/>
      <c r="P1001" s="5"/>
      <c r="Q1001" s="5"/>
      <c r="R1001" s="5"/>
      <c r="S1001" s="5"/>
      <c r="U1001" s="5"/>
      <c r="W1001" s="5"/>
    </row>
    <row r="1002" spans="3:23" x14ac:dyDescent="0.2">
      <c r="C1002" s="5"/>
      <c r="I1002" s="5"/>
      <c r="L1002" s="5"/>
      <c r="M1002" s="5"/>
      <c r="N1002" s="5"/>
      <c r="P1002" s="5"/>
      <c r="Q1002" s="5"/>
      <c r="R1002" s="5"/>
      <c r="S1002" s="5"/>
      <c r="U1002" s="5"/>
      <c r="W1002" s="5"/>
    </row>
    <row r="1003" spans="3:23" x14ac:dyDescent="0.2">
      <c r="C1003" s="5"/>
      <c r="I1003" s="5"/>
      <c r="L1003" s="5"/>
      <c r="M1003" s="5"/>
      <c r="N1003" s="5"/>
      <c r="P1003" s="5"/>
      <c r="Q1003" s="5"/>
      <c r="R1003" s="5"/>
      <c r="S1003" s="5"/>
      <c r="U1003" s="5"/>
      <c r="W1003" s="5"/>
    </row>
    <row r="1004" spans="3:23" x14ac:dyDescent="0.2">
      <c r="C1004" s="5"/>
      <c r="I1004" s="5"/>
      <c r="L1004" s="5"/>
      <c r="M1004" s="5"/>
      <c r="N1004" s="5"/>
      <c r="P1004" s="5"/>
      <c r="Q1004" s="5"/>
      <c r="R1004" s="5"/>
      <c r="S1004" s="5"/>
      <c r="U1004" s="5"/>
      <c r="W1004" s="5"/>
    </row>
    <row r="1005" spans="3:23" x14ac:dyDescent="0.2">
      <c r="C1005" s="5"/>
      <c r="I1005" s="5"/>
      <c r="L1005" s="5"/>
      <c r="M1005" s="5"/>
      <c r="N1005" s="5"/>
      <c r="P1005" s="5"/>
      <c r="Q1005" s="5"/>
      <c r="R1005" s="5"/>
      <c r="S1005" s="5"/>
      <c r="U1005" s="5"/>
      <c r="W1005" s="5"/>
    </row>
    <row r="1006" spans="3:23" x14ac:dyDescent="0.2">
      <c r="C1006" s="5"/>
      <c r="I1006" s="5"/>
      <c r="L1006" s="5"/>
      <c r="M1006" s="5"/>
      <c r="N1006" s="5"/>
      <c r="P1006" s="5"/>
      <c r="Q1006" s="5"/>
      <c r="R1006" s="5"/>
      <c r="S1006" s="5"/>
      <c r="U1006" s="5"/>
      <c r="W1006" s="5"/>
    </row>
    <row r="1007" spans="3:23" x14ac:dyDescent="0.2">
      <c r="C1007" s="5"/>
      <c r="I1007" s="5"/>
      <c r="L1007" s="5"/>
      <c r="M1007" s="5"/>
      <c r="N1007" s="5"/>
      <c r="P1007" s="5"/>
      <c r="Q1007" s="5"/>
      <c r="R1007" s="5"/>
      <c r="S1007" s="5"/>
      <c r="U1007" s="5"/>
      <c r="W1007" s="5"/>
    </row>
    <row r="1008" spans="3:23" x14ac:dyDescent="0.2">
      <c r="C1008" s="5"/>
      <c r="I1008" s="5"/>
      <c r="L1008" s="5"/>
      <c r="M1008" s="5"/>
      <c r="N1008" s="5"/>
      <c r="P1008" s="5"/>
      <c r="Q1008" s="5"/>
      <c r="R1008" s="5"/>
      <c r="S1008" s="5"/>
      <c r="U1008" s="5"/>
      <c r="W1008" s="5"/>
    </row>
    <row r="1009" spans="3:23" x14ac:dyDescent="0.2">
      <c r="C1009" s="5"/>
      <c r="I1009" s="5"/>
      <c r="L1009" s="5"/>
      <c r="M1009" s="5"/>
      <c r="N1009" s="5"/>
      <c r="P1009" s="5"/>
      <c r="Q1009" s="5"/>
      <c r="R1009" s="5"/>
      <c r="S1009" s="5"/>
      <c r="U1009" s="5"/>
      <c r="W1009" s="5"/>
    </row>
    <row r="1010" spans="3:23" x14ac:dyDescent="0.2">
      <c r="C1010" s="5"/>
      <c r="I1010" s="5"/>
      <c r="L1010" s="5"/>
      <c r="M1010" s="5"/>
      <c r="N1010" s="5"/>
      <c r="P1010" s="5"/>
      <c r="Q1010" s="5"/>
      <c r="R1010" s="5"/>
      <c r="S1010" s="5"/>
      <c r="U1010" s="5"/>
      <c r="W1010" s="5"/>
    </row>
    <row r="1011" spans="3:23" x14ac:dyDescent="0.2">
      <c r="C1011" s="5"/>
      <c r="I1011" s="5"/>
      <c r="L1011" s="5"/>
      <c r="M1011" s="5"/>
      <c r="N1011" s="5"/>
      <c r="P1011" s="5"/>
      <c r="Q1011" s="5"/>
      <c r="R1011" s="5"/>
      <c r="S1011" s="5"/>
      <c r="U1011" s="5"/>
      <c r="W1011" s="5"/>
    </row>
    <row r="1012" spans="3:23" x14ac:dyDescent="0.2">
      <c r="C1012" s="5"/>
      <c r="I1012" s="5"/>
      <c r="L1012" s="5"/>
      <c r="M1012" s="5"/>
      <c r="N1012" s="5"/>
      <c r="P1012" s="5"/>
      <c r="Q1012" s="5"/>
      <c r="R1012" s="5"/>
      <c r="S1012" s="5"/>
      <c r="U1012" s="5"/>
      <c r="W1012" s="5"/>
    </row>
    <row r="1013" spans="3:23" x14ac:dyDescent="0.2">
      <c r="C1013" s="5"/>
      <c r="I1013" s="5"/>
      <c r="L1013" s="5"/>
      <c r="M1013" s="5"/>
      <c r="N1013" s="5"/>
      <c r="P1013" s="5"/>
      <c r="Q1013" s="5"/>
      <c r="R1013" s="5"/>
      <c r="S1013" s="5"/>
      <c r="U1013" s="5"/>
      <c r="W1013" s="5"/>
    </row>
    <row r="1014" spans="3:23" x14ac:dyDescent="0.2">
      <c r="C1014" s="5"/>
      <c r="I1014" s="5"/>
      <c r="L1014" s="5"/>
      <c r="M1014" s="5"/>
      <c r="N1014" s="5"/>
      <c r="P1014" s="5"/>
      <c r="Q1014" s="5"/>
      <c r="R1014" s="5"/>
      <c r="S1014" s="5"/>
      <c r="U1014" s="5"/>
      <c r="W1014" s="5"/>
    </row>
    <row r="1015" spans="3:23" x14ac:dyDescent="0.2">
      <c r="C1015" s="5"/>
      <c r="I1015" s="5"/>
      <c r="L1015" s="5"/>
      <c r="M1015" s="5"/>
      <c r="N1015" s="5"/>
      <c r="P1015" s="5"/>
      <c r="Q1015" s="5"/>
      <c r="R1015" s="5"/>
      <c r="S1015" s="5"/>
      <c r="U1015" s="5"/>
      <c r="W1015" s="5"/>
    </row>
    <row r="1016" spans="3:23" x14ac:dyDescent="0.2">
      <c r="C1016" s="5"/>
      <c r="I1016" s="5"/>
      <c r="L1016" s="5"/>
      <c r="M1016" s="5"/>
      <c r="N1016" s="5"/>
      <c r="P1016" s="5"/>
      <c r="Q1016" s="5"/>
      <c r="R1016" s="5"/>
      <c r="S1016" s="5"/>
      <c r="U1016" s="5"/>
      <c r="W1016" s="5"/>
    </row>
    <row r="1017" spans="3:23" x14ac:dyDescent="0.2">
      <c r="C1017" s="5"/>
      <c r="I1017" s="5"/>
      <c r="L1017" s="5"/>
      <c r="M1017" s="5"/>
      <c r="N1017" s="5"/>
      <c r="P1017" s="5"/>
      <c r="Q1017" s="5"/>
      <c r="R1017" s="5"/>
      <c r="S1017" s="5"/>
      <c r="U1017" s="5"/>
      <c r="W1017" s="5"/>
    </row>
    <row r="1018" spans="3:23" x14ac:dyDescent="0.2">
      <c r="C1018" s="5"/>
      <c r="I1018" s="5"/>
      <c r="L1018" s="5"/>
      <c r="M1018" s="5"/>
      <c r="N1018" s="5"/>
      <c r="P1018" s="5"/>
      <c r="Q1018" s="5"/>
      <c r="R1018" s="5"/>
      <c r="S1018" s="5"/>
      <c r="U1018" s="5"/>
      <c r="W1018" s="5"/>
    </row>
    <row r="1019" spans="3:23" x14ac:dyDescent="0.2">
      <c r="C1019" s="5"/>
      <c r="I1019" s="5"/>
      <c r="L1019" s="5"/>
      <c r="M1019" s="5"/>
      <c r="N1019" s="5"/>
      <c r="P1019" s="5"/>
      <c r="Q1019" s="5"/>
      <c r="R1019" s="5"/>
      <c r="S1019" s="5"/>
      <c r="U1019" s="5"/>
      <c r="W1019" s="5"/>
    </row>
    <row r="1020" spans="3:23" x14ac:dyDescent="0.2">
      <c r="C1020" s="5"/>
      <c r="I1020" s="5"/>
      <c r="L1020" s="5"/>
      <c r="M1020" s="5"/>
      <c r="N1020" s="5"/>
      <c r="P1020" s="5"/>
      <c r="Q1020" s="5"/>
      <c r="R1020" s="5"/>
      <c r="S1020" s="5"/>
      <c r="U1020" s="5"/>
      <c r="W1020" s="5"/>
    </row>
    <row r="1021" spans="3:23" x14ac:dyDescent="0.2">
      <c r="C1021" s="5"/>
      <c r="I1021" s="5"/>
      <c r="L1021" s="5"/>
      <c r="M1021" s="5"/>
      <c r="N1021" s="5"/>
      <c r="P1021" s="5"/>
      <c r="Q1021" s="5"/>
      <c r="R1021" s="5"/>
      <c r="S1021" s="5"/>
      <c r="U1021" s="5"/>
      <c r="W1021" s="5"/>
    </row>
    <row r="1022" spans="3:23" x14ac:dyDescent="0.2">
      <c r="C1022" s="5"/>
      <c r="I1022" s="5"/>
      <c r="L1022" s="5"/>
      <c r="M1022" s="5"/>
      <c r="N1022" s="5"/>
      <c r="P1022" s="5"/>
      <c r="Q1022" s="5"/>
      <c r="R1022" s="5"/>
      <c r="S1022" s="5"/>
      <c r="U1022" s="5"/>
      <c r="W1022" s="5"/>
    </row>
    <row r="1023" spans="3:23" x14ac:dyDescent="0.2">
      <c r="C1023" s="5"/>
      <c r="I1023" s="5"/>
      <c r="L1023" s="5"/>
      <c r="M1023" s="5"/>
      <c r="N1023" s="5"/>
      <c r="P1023" s="5"/>
      <c r="Q1023" s="5"/>
      <c r="R1023" s="5"/>
      <c r="S1023" s="5"/>
      <c r="U1023" s="5"/>
      <c r="W1023" s="5"/>
    </row>
    <row r="1024" spans="3:23" x14ac:dyDescent="0.2">
      <c r="C1024" s="5"/>
      <c r="I1024" s="5"/>
      <c r="L1024" s="5"/>
      <c r="M1024" s="5"/>
      <c r="N1024" s="5"/>
      <c r="P1024" s="5"/>
      <c r="Q1024" s="5"/>
      <c r="R1024" s="5"/>
      <c r="S1024" s="5"/>
      <c r="U1024" s="5"/>
      <c r="W1024" s="5"/>
    </row>
    <row r="1025" spans="3:23" x14ac:dyDescent="0.2">
      <c r="C1025" s="5"/>
      <c r="I1025" s="5"/>
      <c r="L1025" s="5"/>
      <c r="M1025" s="5"/>
      <c r="N1025" s="5"/>
      <c r="P1025" s="5"/>
      <c r="Q1025" s="5"/>
      <c r="R1025" s="5"/>
      <c r="S1025" s="5"/>
      <c r="U1025" s="5"/>
      <c r="W1025" s="5"/>
    </row>
    <row r="1026" spans="3:23" x14ac:dyDescent="0.2">
      <c r="C1026" s="5"/>
      <c r="I1026" s="5"/>
      <c r="L1026" s="5"/>
      <c r="M1026" s="5"/>
      <c r="N1026" s="5"/>
      <c r="P1026" s="5"/>
      <c r="Q1026" s="5"/>
      <c r="R1026" s="5"/>
      <c r="S1026" s="5"/>
      <c r="U1026" s="5"/>
      <c r="W1026" s="5"/>
    </row>
    <row r="1027" spans="3:23" x14ac:dyDescent="0.2">
      <c r="C1027" s="5"/>
      <c r="I1027" s="5"/>
      <c r="L1027" s="5"/>
      <c r="M1027" s="5"/>
      <c r="N1027" s="5"/>
      <c r="P1027" s="5"/>
      <c r="Q1027" s="5"/>
      <c r="R1027" s="5"/>
      <c r="S1027" s="5"/>
      <c r="U1027" s="5"/>
      <c r="W1027" s="5"/>
    </row>
    <row r="1028" spans="3:23" x14ac:dyDescent="0.2">
      <c r="C1028" s="5"/>
      <c r="I1028" s="5"/>
      <c r="L1028" s="5"/>
      <c r="M1028" s="5"/>
      <c r="N1028" s="5"/>
      <c r="P1028" s="5"/>
      <c r="Q1028" s="5"/>
      <c r="R1028" s="5"/>
      <c r="S1028" s="5"/>
      <c r="U1028" s="5"/>
      <c r="W1028" s="5"/>
    </row>
    <row r="1029" spans="3:23" x14ac:dyDescent="0.2">
      <c r="C1029" s="5"/>
      <c r="I1029" s="5"/>
      <c r="L1029" s="5"/>
      <c r="M1029" s="5"/>
      <c r="N1029" s="5"/>
      <c r="P1029" s="5"/>
      <c r="Q1029" s="5"/>
      <c r="R1029" s="5"/>
      <c r="S1029" s="5"/>
      <c r="U1029" s="5"/>
      <c r="W1029" s="5"/>
    </row>
    <row r="1030" spans="3:23" x14ac:dyDescent="0.2">
      <c r="C1030" s="5"/>
      <c r="I1030" s="5"/>
      <c r="L1030" s="5"/>
      <c r="M1030" s="5"/>
      <c r="N1030" s="5"/>
      <c r="P1030" s="5"/>
      <c r="Q1030" s="5"/>
      <c r="R1030" s="5"/>
      <c r="S1030" s="5"/>
      <c r="U1030" s="5"/>
      <c r="W1030" s="5"/>
    </row>
    <row r="1031" spans="3:23" x14ac:dyDescent="0.2">
      <c r="C1031" s="5"/>
      <c r="I1031" s="5"/>
      <c r="L1031" s="5"/>
      <c r="M1031" s="5"/>
      <c r="N1031" s="5"/>
      <c r="P1031" s="5"/>
      <c r="Q1031" s="5"/>
      <c r="R1031" s="5"/>
      <c r="S1031" s="5"/>
      <c r="U1031" s="5"/>
      <c r="W1031" s="5"/>
    </row>
    <row r="1032" spans="3:23" x14ac:dyDescent="0.2">
      <c r="C1032" s="5"/>
      <c r="I1032" s="5"/>
      <c r="L1032" s="5"/>
      <c r="M1032" s="5"/>
      <c r="N1032" s="5"/>
      <c r="P1032" s="5"/>
      <c r="Q1032" s="5"/>
      <c r="R1032" s="5"/>
      <c r="S1032" s="5"/>
      <c r="U1032" s="5"/>
      <c r="W1032" s="5"/>
    </row>
    <row r="1033" spans="3:23" x14ac:dyDescent="0.2">
      <c r="C1033" s="5"/>
      <c r="I1033" s="5"/>
      <c r="L1033" s="5"/>
      <c r="M1033" s="5"/>
      <c r="N1033" s="5"/>
      <c r="P1033" s="5"/>
      <c r="Q1033" s="5"/>
      <c r="R1033" s="5"/>
      <c r="S1033" s="5"/>
      <c r="U1033" s="5"/>
      <c r="W1033" s="5"/>
    </row>
    <row r="1034" spans="3:23" x14ac:dyDescent="0.2">
      <c r="C1034" s="5"/>
      <c r="I1034" s="5"/>
      <c r="L1034" s="5"/>
      <c r="M1034" s="5"/>
      <c r="N1034" s="5"/>
      <c r="P1034" s="5"/>
      <c r="Q1034" s="5"/>
      <c r="R1034" s="5"/>
      <c r="S1034" s="5"/>
      <c r="U1034" s="5"/>
      <c r="W1034" s="5"/>
    </row>
    <row r="1035" spans="3:23" x14ac:dyDescent="0.2">
      <c r="C1035" s="5"/>
      <c r="I1035" s="5"/>
      <c r="L1035" s="5"/>
      <c r="M1035" s="5"/>
      <c r="N1035" s="5"/>
      <c r="P1035" s="5"/>
      <c r="Q1035" s="5"/>
      <c r="R1035" s="5"/>
      <c r="S1035" s="5"/>
      <c r="U1035" s="5"/>
      <c r="W1035" s="5"/>
    </row>
    <row r="1036" spans="3:23" x14ac:dyDescent="0.2">
      <c r="C1036" s="5"/>
      <c r="I1036" s="5"/>
      <c r="L1036" s="5"/>
      <c r="M1036" s="5"/>
      <c r="N1036" s="5"/>
      <c r="P1036" s="5"/>
      <c r="Q1036" s="5"/>
      <c r="R1036" s="5"/>
      <c r="S1036" s="5"/>
      <c r="U1036" s="5"/>
      <c r="W1036" s="5"/>
    </row>
    <row r="1037" spans="3:23" x14ac:dyDescent="0.2">
      <c r="C1037" s="5"/>
      <c r="I1037" s="5"/>
      <c r="L1037" s="5"/>
      <c r="M1037" s="5"/>
      <c r="N1037" s="5"/>
      <c r="P1037" s="5"/>
      <c r="Q1037" s="5"/>
      <c r="R1037" s="5"/>
      <c r="S1037" s="5"/>
      <c r="U1037" s="5"/>
      <c r="W1037" s="5"/>
    </row>
    <row r="1038" spans="3:23" x14ac:dyDescent="0.2">
      <c r="C1038" s="5"/>
      <c r="I1038" s="5"/>
      <c r="L1038" s="5"/>
      <c r="M1038" s="5"/>
      <c r="N1038" s="5"/>
      <c r="P1038" s="5"/>
      <c r="Q1038" s="5"/>
      <c r="R1038" s="5"/>
      <c r="S1038" s="5"/>
      <c r="U1038" s="5"/>
      <c r="W1038" s="5"/>
    </row>
    <row r="1039" spans="3:23" x14ac:dyDescent="0.2">
      <c r="C1039" s="5"/>
      <c r="I1039" s="5"/>
      <c r="L1039" s="5"/>
      <c r="M1039" s="5"/>
      <c r="N1039" s="5"/>
      <c r="P1039" s="5"/>
      <c r="Q1039" s="5"/>
      <c r="R1039" s="5"/>
      <c r="S1039" s="5"/>
      <c r="U1039" s="5"/>
      <c r="W1039" s="5"/>
    </row>
    <row r="1040" spans="3:23" x14ac:dyDescent="0.2">
      <c r="C1040" s="5"/>
      <c r="I1040" s="5"/>
      <c r="L1040" s="5"/>
      <c r="M1040" s="5"/>
      <c r="N1040" s="5"/>
      <c r="P1040" s="5"/>
      <c r="Q1040" s="5"/>
      <c r="R1040" s="5"/>
      <c r="S1040" s="5"/>
      <c r="U1040" s="5"/>
      <c r="W1040" s="5"/>
    </row>
    <row r="1041" spans="3:23" x14ac:dyDescent="0.2">
      <c r="C1041" s="5"/>
      <c r="I1041" s="5"/>
      <c r="L1041" s="5"/>
      <c r="M1041" s="5"/>
      <c r="N1041" s="5"/>
      <c r="P1041" s="5"/>
      <c r="Q1041" s="5"/>
      <c r="R1041" s="5"/>
      <c r="S1041" s="5"/>
      <c r="U1041" s="5"/>
      <c r="W1041" s="5"/>
    </row>
    <row r="1042" spans="3:23" x14ac:dyDescent="0.2">
      <c r="C1042" s="5"/>
      <c r="I1042" s="5"/>
      <c r="L1042" s="5"/>
      <c r="M1042" s="5"/>
      <c r="N1042" s="5"/>
      <c r="P1042" s="5"/>
      <c r="Q1042" s="5"/>
      <c r="R1042" s="5"/>
      <c r="S1042" s="5"/>
      <c r="U1042" s="5"/>
      <c r="W1042" s="5"/>
    </row>
    <row r="1043" spans="3:23" x14ac:dyDescent="0.2">
      <c r="C1043" s="5"/>
      <c r="I1043" s="5"/>
      <c r="L1043" s="5"/>
      <c r="M1043" s="5"/>
      <c r="N1043" s="5"/>
      <c r="P1043" s="5"/>
      <c r="Q1043" s="5"/>
      <c r="R1043" s="5"/>
      <c r="S1043" s="5"/>
      <c r="U1043" s="5"/>
      <c r="W1043" s="5"/>
    </row>
    <row r="1044" spans="3:23" x14ac:dyDescent="0.2">
      <c r="C1044" s="5"/>
      <c r="I1044" s="5"/>
      <c r="L1044" s="5"/>
      <c r="M1044" s="5"/>
      <c r="N1044" s="5"/>
      <c r="P1044" s="5"/>
      <c r="Q1044" s="5"/>
      <c r="R1044" s="5"/>
      <c r="S1044" s="5"/>
      <c r="U1044" s="5"/>
      <c r="W1044" s="5"/>
    </row>
    <row r="1045" spans="3:23" x14ac:dyDescent="0.2">
      <c r="C1045" s="5"/>
      <c r="I1045" s="5"/>
      <c r="L1045" s="5"/>
      <c r="M1045" s="5"/>
      <c r="N1045" s="5"/>
      <c r="P1045" s="5"/>
      <c r="Q1045" s="5"/>
      <c r="R1045" s="5"/>
      <c r="S1045" s="5"/>
      <c r="U1045" s="5"/>
      <c r="W1045" s="5"/>
    </row>
    <row r="1046" spans="3:23" x14ac:dyDescent="0.2">
      <c r="C1046" s="5"/>
      <c r="I1046" s="5"/>
      <c r="L1046" s="5"/>
      <c r="M1046" s="5"/>
      <c r="N1046" s="5"/>
      <c r="P1046" s="5"/>
      <c r="Q1046" s="5"/>
      <c r="R1046" s="5"/>
      <c r="S1046" s="5"/>
      <c r="U1046" s="5"/>
      <c r="W1046" s="5"/>
    </row>
    <row r="1047" spans="3:23" x14ac:dyDescent="0.2">
      <c r="C1047" s="5"/>
      <c r="I1047" s="5"/>
      <c r="L1047" s="5"/>
      <c r="M1047" s="5"/>
      <c r="N1047" s="5"/>
      <c r="P1047" s="5"/>
      <c r="Q1047" s="5"/>
      <c r="R1047" s="5"/>
      <c r="S1047" s="5"/>
      <c r="U1047" s="5"/>
      <c r="W1047" s="5"/>
    </row>
    <row r="1048" spans="3:23" x14ac:dyDescent="0.2">
      <c r="C1048" s="5"/>
      <c r="I1048" s="5"/>
      <c r="L1048" s="5"/>
      <c r="M1048" s="5"/>
      <c r="N1048" s="5"/>
      <c r="P1048" s="5"/>
      <c r="Q1048" s="5"/>
      <c r="R1048" s="5"/>
      <c r="S1048" s="5"/>
      <c r="U1048" s="5"/>
      <c r="W1048" s="5"/>
    </row>
    <row r="1049" spans="3:23" x14ac:dyDescent="0.2">
      <c r="C1049" s="5"/>
      <c r="I1049" s="5"/>
      <c r="L1049" s="5"/>
      <c r="M1049" s="5"/>
      <c r="N1049" s="5"/>
      <c r="P1049" s="5"/>
      <c r="Q1049" s="5"/>
      <c r="R1049" s="5"/>
      <c r="S1049" s="5"/>
      <c r="U1049" s="5"/>
      <c r="W1049" s="5"/>
    </row>
    <row r="1050" spans="3:23" x14ac:dyDescent="0.2">
      <c r="C1050" s="5"/>
      <c r="I1050" s="5"/>
      <c r="L1050" s="5"/>
      <c r="M1050" s="5"/>
      <c r="N1050" s="5"/>
      <c r="P1050" s="5"/>
      <c r="Q1050" s="5"/>
      <c r="R1050" s="5"/>
      <c r="S1050" s="5"/>
      <c r="U1050" s="5"/>
      <c r="W1050" s="5"/>
    </row>
    <row r="1051" spans="3:23" x14ac:dyDescent="0.2">
      <c r="C1051" s="5"/>
      <c r="I1051" s="5"/>
      <c r="L1051" s="5"/>
      <c r="M1051" s="5"/>
      <c r="N1051" s="5"/>
      <c r="P1051" s="5"/>
      <c r="Q1051" s="5"/>
      <c r="R1051" s="5"/>
      <c r="S1051" s="5"/>
      <c r="U1051" s="5"/>
      <c r="W1051" s="5"/>
    </row>
    <row r="1052" spans="3:23" x14ac:dyDescent="0.2">
      <c r="C1052" s="5"/>
      <c r="I1052" s="5"/>
      <c r="L1052" s="5"/>
      <c r="M1052" s="5"/>
      <c r="N1052" s="5"/>
      <c r="P1052" s="5"/>
      <c r="Q1052" s="5"/>
      <c r="R1052" s="5"/>
      <c r="S1052" s="5"/>
      <c r="U1052" s="5"/>
      <c r="W1052" s="5"/>
    </row>
    <row r="1053" spans="3:23" x14ac:dyDescent="0.2">
      <c r="C1053" s="5"/>
      <c r="I1053" s="5"/>
      <c r="L1053" s="5"/>
      <c r="M1053" s="5"/>
      <c r="N1053" s="5"/>
      <c r="P1053" s="5"/>
      <c r="Q1053" s="5"/>
      <c r="R1053" s="5"/>
      <c r="S1053" s="5"/>
      <c r="U1053" s="5"/>
      <c r="W1053" s="5"/>
    </row>
    <row r="1054" spans="3:23" x14ac:dyDescent="0.2">
      <c r="C1054" s="5"/>
      <c r="I1054" s="5"/>
      <c r="L1054" s="5"/>
      <c r="M1054" s="5"/>
      <c r="N1054" s="5"/>
      <c r="P1054" s="5"/>
      <c r="Q1054" s="5"/>
      <c r="R1054" s="5"/>
      <c r="S1054" s="5"/>
      <c r="U1054" s="5"/>
      <c r="W1054" s="5"/>
    </row>
    <row r="1055" spans="3:23" x14ac:dyDescent="0.2">
      <c r="C1055" s="5"/>
      <c r="I1055" s="5"/>
      <c r="L1055" s="5"/>
      <c r="M1055" s="5"/>
      <c r="N1055" s="5"/>
      <c r="P1055" s="5"/>
      <c r="Q1055" s="5"/>
      <c r="R1055" s="5"/>
      <c r="S1055" s="5"/>
      <c r="U1055" s="5"/>
      <c r="W1055" s="5"/>
    </row>
    <row r="1056" spans="3:23" x14ac:dyDescent="0.2">
      <c r="C1056" s="5"/>
      <c r="I1056" s="5"/>
      <c r="L1056" s="5"/>
      <c r="M1056" s="5"/>
      <c r="N1056" s="5"/>
      <c r="P1056" s="5"/>
      <c r="Q1056" s="5"/>
      <c r="R1056" s="5"/>
      <c r="S1056" s="5"/>
      <c r="U1056" s="5"/>
      <c r="W1056" s="5"/>
    </row>
    <row r="1057" spans="3:23" x14ac:dyDescent="0.2">
      <c r="C1057" s="5"/>
      <c r="I1057" s="5"/>
      <c r="L1057" s="5"/>
      <c r="M1057" s="5"/>
      <c r="N1057" s="5"/>
      <c r="P1057" s="5"/>
      <c r="Q1057" s="5"/>
      <c r="R1057" s="5"/>
      <c r="S1057" s="5"/>
      <c r="U1057" s="5"/>
      <c r="W1057" s="5"/>
    </row>
    <row r="1058" spans="3:23" x14ac:dyDescent="0.2">
      <c r="C1058" s="5"/>
      <c r="I1058" s="5"/>
      <c r="L1058" s="5"/>
      <c r="M1058" s="5"/>
      <c r="N1058" s="5"/>
      <c r="P1058" s="5"/>
      <c r="Q1058" s="5"/>
      <c r="R1058" s="5"/>
      <c r="S1058" s="5"/>
      <c r="U1058" s="5"/>
      <c r="W1058" s="5"/>
    </row>
    <row r="1059" spans="3:23" x14ac:dyDescent="0.2">
      <c r="C1059" s="5"/>
      <c r="I1059" s="5"/>
      <c r="L1059" s="5"/>
      <c r="M1059" s="5"/>
      <c r="N1059" s="5"/>
      <c r="P1059" s="5"/>
      <c r="Q1059" s="5"/>
      <c r="R1059" s="5"/>
      <c r="S1059" s="5"/>
      <c r="U1059" s="5"/>
      <c r="W1059" s="5"/>
    </row>
    <row r="1060" spans="3:23" x14ac:dyDescent="0.2">
      <c r="C1060" s="5"/>
      <c r="I1060" s="5"/>
      <c r="L1060" s="5"/>
      <c r="M1060" s="5"/>
      <c r="N1060" s="5"/>
      <c r="P1060" s="5"/>
      <c r="Q1060" s="5"/>
      <c r="R1060" s="5"/>
      <c r="S1060" s="5"/>
      <c r="U1060" s="5"/>
      <c r="W1060" s="5"/>
    </row>
    <row r="1061" spans="3:23" x14ac:dyDescent="0.2">
      <c r="C1061" s="5"/>
      <c r="I1061" s="5"/>
      <c r="L1061" s="5"/>
      <c r="M1061" s="5"/>
      <c r="N1061" s="5"/>
      <c r="P1061" s="5"/>
      <c r="Q1061" s="5"/>
      <c r="R1061" s="5"/>
      <c r="S1061" s="5"/>
      <c r="U1061" s="5"/>
      <c r="W1061" s="5"/>
    </row>
    <row r="1062" spans="3:23" x14ac:dyDescent="0.2">
      <c r="C1062" s="5"/>
      <c r="I1062" s="5"/>
      <c r="L1062" s="5"/>
      <c r="M1062" s="5"/>
      <c r="N1062" s="5"/>
      <c r="P1062" s="5"/>
      <c r="Q1062" s="5"/>
      <c r="R1062" s="5"/>
      <c r="S1062" s="5"/>
      <c r="U1062" s="5"/>
      <c r="W1062" s="5"/>
    </row>
    <row r="1063" spans="3:23" x14ac:dyDescent="0.2">
      <c r="C1063" s="5"/>
      <c r="I1063" s="5"/>
      <c r="L1063" s="5"/>
      <c r="M1063" s="5"/>
      <c r="N1063" s="5"/>
      <c r="P1063" s="5"/>
      <c r="Q1063" s="5"/>
      <c r="R1063" s="5"/>
      <c r="S1063" s="5"/>
      <c r="U1063" s="5"/>
      <c r="W1063" s="5"/>
    </row>
    <row r="1064" spans="3:23" x14ac:dyDescent="0.2">
      <c r="C1064" s="5"/>
      <c r="I1064" s="5"/>
      <c r="L1064" s="5"/>
      <c r="M1064" s="5"/>
      <c r="N1064" s="5"/>
      <c r="P1064" s="5"/>
      <c r="Q1064" s="5"/>
      <c r="R1064" s="5"/>
      <c r="S1064" s="5"/>
      <c r="U1064" s="5"/>
      <c r="W1064" s="5"/>
    </row>
    <row r="1065" spans="3:23" x14ac:dyDescent="0.2">
      <c r="C1065" s="5"/>
      <c r="I1065" s="5"/>
      <c r="L1065" s="5"/>
      <c r="M1065" s="5"/>
      <c r="N1065" s="5"/>
      <c r="P1065" s="5"/>
      <c r="Q1065" s="5"/>
      <c r="R1065" s="5"/>
      <c r="S1065" s="5"/>
      <c r="U1065" s="5"/>
      <c r="W1065" s="5"/>
    </row>
    <row r="1066" spans="3:23" x14ac:dyDescent="0.2">
      <c r="C1066" s="5"/>
      <c r="I1066" s="5"/>
      <c r="L1066" s="5"/>
      <c r="M1066" s="5"/>
      <c r="N1066" s="5"/>
      <c r="P1066" s="5"/>
      <c r="Q1066" s="5"/>
      <c r="R1066" s="5"/>
      <c r="S1066" s="5"/>
      <c r="U1066" s="5"/>
      <c r="W1066" s="5"/>
    </row>
    <row r="1067" spans="3:23" x14ac:dyDescent="0.2">
      <c r="C1067" s="5"/>
      <c r="I1067" s="5"/>
      <c r="L1067" s="5"/>
      <c r="M1067" s="5"/>
      <c r="N1067" s="5"/>
      <c r="P1067" s="5"/>
      <c r="Q1067" s="5"/>
      <c r="R1067" s="5"/>
      <c r="S1067" s="5"/>
      <c r="U1067" s="5"/>
      <c r="W1067" s="5"/>
    </row>
    <row r="1068" spans="3:23" x14ac:dyDescent="0.2">
      <c r="C1068" s="5"/>
      <c r="I1068" s="5"/>
      <c r="L1068" s="5"/>
      <c r="M1068" s="5"/>
      <c r="N1068" s="5"/>
      <c r="P1068" s="5"/>
      <c r="Q1068" s="5"/>
      <c r="R1068" s="5"/>
      <c r="S1068" s="5"/>
      <c r="U1068" s="5"/>
      <c r="W1068" s="5"/>
    </row>
    <row r="1069" spans="3:23" x14ac:dyDescent="0.2">
      <c r="C1069" s="5"/>
      <c r="I1069" s="5"/>
      <c r="L1069" s="5"/>
      <c r="M1069" s="5"/>
      <c r="N1069" s="5"/>
      <c r="P1069" s="5"/>
      <c r="Q1069" s="5"/>
      <c r="R1069" s="5"/>
      <c r="S1069" s="5"/>
      <c r="U1069" s="5"/>
      <c r="W1069" s="5"/>
    </row>
    <row r="1070" spans="3:23" x14ac:dyDescent="0.2">
      <c r="C1070" s="5"/>
      <c r="I1070" s="5"/>
      <c r="L1070" s="5"/>
      <c r="M1070" s="5"/>
      <c r="N1070" s="5"/>
      <c r="P1070" s="5"/>
      <c r="Q1070" s="5"/>
      <c r="R1070" s="5"/>
      <c r="S1070" s="5"/>
      <c r="U1070" s="5"/>
      <c r="W1070" s="5"/>
    </row>
    <row r="1071" spans="3:23" x14ac:dyDescent="0.2">
      <c r="C1071" s="5"/>
      <c r="I1071" s="5"/>
      <c r="L1071" s="5"/>
      <c r="M1071" s="5"/>
      <c r="N1071" s="5"/>
      <c r="P1071" s="5"/>
      <c r="Q1071" s="5"/>
      <c r="R1071" s="5"/>
      <c r="S1071" s="5"/>
      <c r="U1071" s="5"/>
      <c r="W1071" s="5"/>
    </row>
    <row r="1072" spans="3:23" x14ac:dyDescent="0.2">
      <c r="C1072" s="5"/>
      <c r="I1072" s="5"/>
      <c r="L1072" s="5"/>
      <c r="M1072" s="5"/>
      <c r="N1072" s="5"/>
      <c r="P1072" s="5"/>
      <c r="Q1072" s="5"/>
      <c r="R1072" s="5"/>
      <c r="S1072" s="5"/>
      <c r="U1072" s="5"/>
      <c r="W1072" s="5"/>
    </row>
    <row r="1073" spans="3:23" x14ac:dyDescent="0.2">
      <c r="C1073" s="5"/>
      <c r="I1073" s="5"/>
      <c r="L1073" s="5"/>
      <c r="M1073" s="5"/>
      <c r="N1073" s="5"/>
      <c r="P1073" s="5"/>
      <c r="Q1073" s="5"/>
      <c r="R1073" s="5"/>
      <c r="S1073" s="5"/>
      <c r="U1073" s="5"/>
      <c r="W1073" s="5"/>
    </row>
    <row r="1074" spans="3:23" x14ac:dyDescent="0.2">
      <c r="C1074" s="5"/>
      <c r="I1074" s="5"/>
      <c r="L1074" s="5"/>
      <c r="M1074" s="5"/>
      <c r="N1074" s="5"/>
      <c r="P1074" s="5"/>
      <c r="Q1074" s="5"/>
      <c r="R1074" s="5"/>
      <c r="S1074" s="5"/>
      <c r="U1074" s="5"/>
      <c r="W1074" s="5"/>
    </row>
    <row r="1075" spans="3:23" x14ac:dyDescent="0.2">
      <c r="C1075" s="5"/>
      <c r="I1075" s="5"/>
      <c r="L1075" s="5"/>
      <c r="M1075" s="5"/>
      <c r="N1075" s="5"/>
      <c r="P1075" s="5"/>
      <c r="Q1075" s="5"/>
      <c r="R1075" s="5"/>
      <c r="S1075" s="5"/>
      <c r="U1075" s="5"/>
      <c r="W1075" s="5"/>
    </row>
    <row r="1076" spans="3:23" x14ac:dyDescent="0.2">
      <c r="C1076" s="5"/>
      <c r="I1076" s="5"/>
      <c r="L1076" s="5"/>
      <c r="M1076" s="5"/>
      <c r="N1076" s="5"/>
      <c r="P1076" s="5"/>
      <c r="Q1076" s="5"/>
      <c r="R1076" s="5"/>
      <c r="S1076" s="5"/>
      <c r="U1076" s="5"/>
      <c r="W1076" s="5"/>
    </row>
    <row r="1077" spans="3:23" x14ac:dyDescent="0.2">
      <c r="C1077" s="5"/>
      <c r="I1077" s="5"/>
      <c r="L1077" s="5"/>
      <c r="M1077" s="5"/>
      <c r="N1077" s="5"/>
      <c r="P1077" s="5"/>
      <c r="Q1077" s="5"/>
      <c r="R1077" s="5"/>
      <c r="S1077" s="5"/>
      <c r="U1077" s="5"/>
      <c r="W1077" s="5"/>
    </row>
    <row r="1078" spans="3:23" x14ac:dyDescent="0.2">
      <c r="C1078" s="5"/>
      <c r="I1078" s="5"/>
      <c r="L1078" s="5"/>
      <c r="M1078" s="5"/>
      <c r="N1078" s="5"/>
      <c r="P1078" s="5"/>
      <c r="Q1078" s="5"/>
      <c r="R1078" s="5"/>
      <c r="S1078" s="5"/>
      <c r="U1078" s="5"/>
      <c r="W1078" s="5"/>
    </row>
    <row r="1079" spans="3:23" x14ac:dyDescent="0.2">
      <c r="C1079" s="5"/>
      <c r="I1079" s="5"/>
      <c r="L1079" s="5"/>
      <c r="M1079" s="5"/>
      <c r="N1079" s="5"/>
      <c r="P1079" s="5"/>
      <c r="Q1079" s="5"/>
      <c r="R1079" s="5"/>
      <c r="S1079" s="5"/>
      <c r="U1079" s="5"/>
      <c r="W1079" s="5"/>
    </row>
    <row r="1080" spans="3:23" x14ac:dyDescent="0.2">
      <c r="C1080" s="5"/>
      <c r="I1080" s="5"/>
      <c r="L1080" s="5"/>
      <c r="M1080" s="5"/>
      <c r="N1080" s="5"/>
      <c r="P1080" s="5"/>
      <c r="Q1080" s="5"/>
      <c r="R1080" s="5"/>
      <c r="S1080" s="5"/>
      <c r="U1080" s="5"/>
      <c r="W1080" s="5"/>
    </row>
    <row r="1081" spans="3:23" x14ac:dyDescent="0.2">
      <c r="C1081" s="5"/>
      <c r="I1081" s="5"/>
      <c r="L1081" s="5"/>
      <c r="M1081" s="5"/>
      <c r="N1081" s="5"/>
      <c r="P1081" s="5"/>
      <c r="Q1081" s="5"/>
      <c r="R1081" s="5"/>
      <c r="S1081" s="5"/>
      <c r="U1081" s="5"/>
      <c r="W1081" s="5"/>
    </row>
    <row r="1082" spans="3:23" x14ac:dyDescent="0.2">
      <c r="C1082" s="5"/>
      <c r="I1082" s="5"/>
      <c r="L1082" s="5"/>
      <c r="M1082" s="5"/>
      <c r="N1082" s="5"/>
      <c r="P1082" s="5"/>
      <c r="Q1082" s="5"/>
      <c r="R1082" s="5"/>
      <c r="S1082" s="5"/>
      <c r="U1082" s="5"/>
      <c r="W1082" s="5"/>
    </row>
    <row r="1083" spans="3:23" x14ac:dyDescent="0.2">
      <c r="C1083" s="5"/>
      <c r="I1083" s="5"/>
      <c r="L1083" s="5"/>
      <c r="M1083" s="5"/>
      <c r="N1083" s="5"/>
      <c r="P1083" s="5"/>
      <c r="Q1083" s="5"/>
      <c r="R1083" s="5"/>
      <c r="S1083" s="5"/>
      <c r="U1083" s="5"/>
      <c r="W1083" s="5"/>
    </row>
    <row r="1084" spans="3:23" x14ac:dyDescent="0.2">
      <c r="C1084" s="5"/>
      <c r="I1084" s="5"/>
      <c r="L1084" s="5"/>
      <c r="M1084" s="5"/>
      <c r="N1084" s="5"/>
      <c r="P1084" s="5"/>
      <c r="Q1084" s="5"/>
      <c r="R1084" s="5"/>
      <c r="S1084" s="5"/>
      <c r="U1084" s="5"/>
      <c r="W1084" s="5"/>
    </row>
    <row r="1085" spans="3:23" x14ac:dyDescent="0.2">
      <c r="C1085" s="5"/>
      <c r="I1085" s="5"/>
      <c r="L1085" s="5"/>
      <c r="M1085" s="5"/>
      <c r="N1085" s="5"/>
      <c r="P1085" s="5"/>
      <c r="Q1085" s="5"/>
      <c r="R1085" s="5"/>
      <c r="S1085" s="5"/>
      <c r="U1085" s="5"/>
      <c r="W1085" s="5"/>
    </row>
    <row r="1086" spans="3:23" x14ac:dyDescent="0.2">
      <c r="C1086" s="5"/>
      <c r="I1086" s="5"/>
      <c r="L1086" s="5"/>
      <c r="M1086" s="5"/>
      <c r="N1086" s="5"/>
      <c r="P1086" s="5"/>
      <c r="Q1086" s="5"/>
      <c r="R1086" s="5"/>
      <c r="S1086" s="5"/>
      <c r="U1086" s="5"/>
      <c r="W1086" s="5"/>
    </row>
    <row r="1087" spans="3:23" x14ac:dyDescent="0.2">
      <c r="C1087" s="5"/>
      <c r="I1087" s="5"/>
      <c r="L1087" s="5"/>
      <c r="M1087" s="5"/>
      <c r="N1087" s="5"/>
      <c r="P1087" s="5"/>
      <c r="Q1087" s="5"/>
      <c r="R1087" s="5"/>
      <c r="S1087" s="5"/>
      <c r="U1087" s="5"/>
      <c r="W1087" s="5"/>
    </row>
    <row r="1088" spans="3:23" x14ac:dyDescent="0.2">
      <c r="C1088" s="5"/>
      <c r="I1088" s="5"/>
      <c r="L1088" s="5"/>
      <c r="M1088" s="5"/>
      <c r="N1088" s="5"/>
      <c r="P1088" s="5"/>
      <c r="Q1088" s="5"/>
      <c r="R1088" s="5"/>
      <c r="S1088" s="5"/>
      <c r="U1088" s="5"/>
      <c r="W1088" s="5"/>
    </row>
    <row r="1089" spans="3:23" x14ac:dyDescent="0.2">
      <c r="C1089" s="5"/>
      <c r="I1089" s="5"/>
      <c r="L1089" s="5"/>
      <c r="M1089" s="5"/>
      <c r="N1089" s="5"/>
      <c r="P1089" s="5"/>
      <c r="Q1089" s="5"/>
      <c r="R1089" s="5"/>
      <c r="S1089" s="5"/>
      <c r="U1089" s="5"/>
      <c r="W1089" s="5"/>
    </row>
    <row r="1090" spans="3:23" x14ac:dyDescent="0.2">
      <c r="C1090" s="5"/>
      <c r="I1090" s="5"/>
      <c r="L1090" s="5"/>
      <c r="M1090" s="5"/>
      <c r="N1090" s="5"/>
      <c r="P1090" s="5"/>
      <c r="Q1090" s="5"/>
      <c r="R1090" s="5"/>
      <c r="S1090" s="5"/>
      <c r="U1090" s="5"/>
      <c r="W1090" s="5"/>
    </row>
    <row r="1091" spans="3:23" x14ac:dyDescent="0.2">
      <c r="C1091" s="5"/>
      <c r="I1091" s="5"/>
      <c r="L1091" s="5"/>
      <c r="M1091" s="5"/>
      <c r="N1091" s="5"/>
      <c r="P1091" s="5"/>
      <c r="Q1091" s="5"/>
      <c r="R1091" s="5"/>
      <c r="S1091" s="5"/>
      <c r="U1091" s="5"/>
      <c r="W1091" s="5"/>
    </row>
    <row r="1092" spans="3:23" x14ac:dyDescent="0.2">
      <c r="C1092" s="5"/>
      <c r="I1092" s="5"/>
      <c r="L1092" s="5"/>
      <c r="M1092" s="5"/>
      <c r="N1092" s="5"/>
      <c r="P1092" s="5"/>
      <c r="Q1092" s="5"/>
      <c r="R1092" s="5"/>
      <c r="S1092" s="5"/>
      <c r="U1092" s="5"/>
      <c r="W1092" s="5"/>
    </row>
    <row r="1093" spans="3:23" x14ac:dyDescent="0.2">
      <c r="C1093" s="5"/>
      <c r="I1093" s="5"/>
      <c r="L1093" s="5"/>
      <c r="M1093" s="5"/>
      <c r="N1093" s="5"/>
      <c r="P1093" s="5"/>
      <c r="Q1093" s="5"/>
      <c r="R1093" s="5"/>
      <c r="S1093" s="5"/>
      <c r="U1093" s="5"/>
      <c r="W1093" s="5"/>
    </row>
    <row r="1094" spans="3:23" x14ac:dyDescent="0.2">
      <c r="C1094" s="5"/>
      <c r="I1094" s="5"/>
      <c r="L1094" s="5"/>
      <c r="M1094" s="5"/>
      <c r="N1094" s="5"/>
      <c r="P1094" s="5"/>
      <c r="Q1094" s="5"/>
      <c r="R1094" s="5"/>
      <c r="S1094" s="5"/>
      <c r="U1094" s="5"/>
      <c r="W1094" s="5"/>
    </row>
    <row r="1095" spans="3:23" x14ac:dyDescent="0.2">
      <c r="C1095" s="5"/>
      <c r="I1095" s="5"/>
      <c r="L1095" s="5"/>
      <c r="M1095" s="5"/>
      <c r="N1095" s="5"/>
      <c r="P1095" s="5"/>
      <c r="Q1095" s="5"/>
      <c r="R1095" s="5"/>
      <c r="S1095" s="5"/>
      <c r="U1095" s="5"/>
      <c r="W1095" s="5"/>
    </row>
    <row r="1096" spans="3:23" x14ac:dyDescent="0.2">
      <c r="C1096" s="5"/>
      <c r="I1096" s="5"/>
      <c r="L1096" s="5"/>
      <c r="M1096" s="5"/>
      <c r="N1096" s="5"/>
      <c r="P1096" s="5"/>
      <c r="Q1096" s="5"/>
      <c r="R1096" s="5"/>
      <c r="S1096" s="5"/>
      <c r="U1096" s="5"/>
      <c r="W1096" s="5"/>
    </row>
    <row r="1097" spans="3:23" x14ac:dyDescent="0.2">
      <c r="C1097" s="5"/>
      <c r="I1097" s="5"/>
      <c r="L1097" s="5"/>
      <c r="M1097" s="5"/>
      <c r="N1097" s="5"/>
      <c r="P1097" s="5"/>
      <c r="Q1097" s="5"/>
      <c r="R1097" s="5"/>
      <c r="S1097" s="5"/>
      <c r="U1097" s="5"/>
      <c r="W1097" s="5"/>
    </row>
    <row r="1098" spans="3:23" x14ac:dyDescent="0.2">
      <c r="C1098" s="5"/>
      <c r="I1098" s="5"/>
      <c r="L1098" s="5"/>
      <c r="M1098" s="5"/>
      <c r="N1098" s="5"/>
      <c r="P1098" s="5"/>
      <c r="Q1098" s="5"/>
      <c r="R1098" s="5"/>
      <c r="S1098" s="5"/>
      <c r="U1098" s="5"/>
      <c r="W1098" s="5"/>
    </row>
    <row r="1099" spans="3:23" x14ac:dyDescent="0.2">
      <c r="C1099" s="5"/>
      <c r="I1099" s="5"/>
      <c r="L1099" s="5"/>
      <c r="M1099" s="5"/>
      <c r="N1099" s="5"/>
      <c r="P1099" s="5"/>
      <c r="Q1099" s="5"/>
      <c r="R1099" s="5"/>
      <c r="S1099" s="5"/>
      <c r="U1099" s="5"/>
      <c r="W1099" s="5"/>
    </row>
    <row r="1100" spans="3:23" x14ac:dyDescent="0.2">
      <c r="C1100" s="5"/>
      <c r="I1100" s="5"/>
      <c r="L1100" s="5"/>
      <c r="M1100" s="5"/>
      <c r="N1100" s="5"/>
      <c r="P1100" s="5"/>
      <c r="Q1100" s="5"/>
      <c r="R1100" s="5"/>
      <c r="S1100" s="5"/>
      <c r="U1100" s="5"/>
      <c r="W1100" s="5"/>
    </row>
    <row r="1101" spans="3:23" x14ac:dyDescent="0.2">
      <c r="C1101" s="5"/>
      <c r="I1101" s="5"/>
      <c r="L1101" s="5"/>
      <c r="M1101" s="5"/>
      <c r="N1101" s="5"/>
      <c r="P1101" s="5"/>
      <c r="Q1101" s="5"/>
      <c r="R1101" s="5"/>
      <c r="S1101" s="5"/>
      <c r="U1101" s="5"/>
      <c r="W1101" s="5"/>
    </row>
    <row r="1102" spans="3:23" x14ac:dyDescent="0.2">
      <c r="C1102" s="5"/>
      <c r="I1102" s="5"/>
      <c r="L1102" s="5"/>
      <c r="M1102" s="5"/>
      <c r="N1102" s="5"/>
      <c r="P1102" s="5"/>
      <c r="Q1102" s="5"/>
      <c r="R1102" s="5"/>
      <c r="S1102" s="5"/>
      <c r="U1102" s="5"/>
      <c r="W1102" s="5"/>
    </row>
    <row r="1103" spans="3:23" x14ac:dyDescent="0.2">
      <c r="C1103" s="5"/>
      <c r="I1103" s="5"/>
      <c r="L1103" s="5"/>
      <c r="M1103" s="5"/>
      <c r="N1103" s="5"/>
      <c r="P1103" s="5"/>
      <c r="Q1103" s="5"/>
      <c r="R1103" s="5"/>
      <c r="S1103" s="5"/>
      <c r="U1103" s="5"/>
      <c r="W1103" s="5"/>
    </row>
    <row r="1104" spans="3:23" x14ac:dyDescent="0.2">
      <c r="C1104" s="5"/>
      <c r="I1104" s="5"/>
      <c r="L1104" s="5"/>
      <c r="M1104" s="5"/>
      <c r="N1104" s="5"/>
      <c r="P1104" s="5"/>
      <c r="Q1104" s="5"/>
      <c r="R1104" s="5"/>
      <c r="S1104" s="5"/>
      <c r="U1104" s="5"/>
      <c r="W1104" s="5"/>
    </row>
    <row r="1105" spans="3:23" x14ac:dyDescent="0.2">
      <c r="C1105" s="5"/>
      <c r="I1105" s="5"/>
      <c r="L1105" s="5"/>
      <c r="M1105" s="5"/>
      <c r="N1105" s="5"/>
      <c r="P1105" s="5"/>
      <c r="Q1105" s="5"/>
      <c r="R1105" s="5"/>
      <c r="S1105" s="5"/>
      <c r="U1105" s="5"/>
      <c r="W1105" s="5"/>
    </row>
    <row r="1106" spans="3:23" x14ac:dyDescent="0.2">
      <c r="C1106" s="5"/>
      <c r="I1106" s="5"/>
      <c r="L1106" s="5"/>
      <c r="M1106" s="5"/>
      <c r="N1106" s="5"/>
      <c r="P1106" s="5"/>
      <c r="Q1106" s="5"/>
      <c r="R1106" s="5"/>
      <c r="S1106" s="5"/>
      <c r="U1106" s="5"/>
      <c r="W1106" s="5"/>
    </row>
    <row r="1107" spans="3:23" x14ac:dyDescent="0.2">
      <c r="C1107" s="5"/>
      <c r="I1107" s="5"/>
      <c r="L1107" s="5"/>
      <c r="M1107" s="5"/>
      <c r="N1107" s="5"/>
      <c r="P1107" s="5"/>
      <c r="Q1107" s="5"/>
      <c r="R1107" s="5"/>
      <c r="S1107" s="5"/>
      <c r="U1107" s="5"/>
      <c r="W1107" s="5"/>
    </row>
    <row r="1108" spans="3:23" x14ac:dyDescent="0.2">
      <c r="C1108" s="5"/>
      <c r="I1108" s="5"/>
      <c r="L1108" s="5"/>
      <c r="M1108" s="5"/>
      <c r="N1108" s="5"/>
      <c r="P1108" s="5"/>
      <c r="Q1108" s="5"/>
      <c r="R1108" s="5"/>
      <c r="S1108" s="5"/>
      <c r="U1108" s="5"/>
      <c r="W1108" s="5"/>
    </row>
    <row r="1109" spans="3:23" x14ac:dyDescent="0.2">
      <c r="C1109" s="5"/>
      <c r="I1109" s="5"/>
      <c r="L1109" s="5"/>
      <c r="M1109" s="5"/>
      <c r="N1109" s="5"/>
      <c r="P1109" s="5"/>
      <c r="Q1109" s="5"/>
      <c r="R1109" s="5"/>
      <c r="S1109" s="5"/>
      <c r="U1109" s="5"/>
      <c r="W1109" s="5"/>
    </row>
    <row r="1110" spans="3:23" x14ac:dyDescent="0.2">
      <c r="C1110" s="5"/>
      <c r="I1110" s="5"/>
      <c r="L1110" s="5"/>
      <c r="M1110" s="5"/>
      <c r="N1110" s="5"/>
      <c r="P1110" s="5"/>
      <c r="Q1110" s="5"/>
      <c r="R1110" s="5"/>
      <c r="S1110" s="5"/>
      <c r="U1110" s="5"/>
      <c r="W1110" s="5"/>
    </row>
    <row r="1111" spans="3:23" x14ac:dyDescent="0.2">
      <c r="C1111" s="5"/>
      <c r="I1111" s="5"/>
      <c r="L1111" s="5"/>
      <c r="M1111" s="5"/>
      <c r="N1111" s="5"/>
      <c r="P1111" s="5"/>
      <c r="Q1111" s="5"/>
      <c r="R1111" s="5"/>
      <c r="S1111" s="5"/>
      <c r="U1111" s="5"/>
      <c r="W1111" s="5"/>
    </row>
    <row r="1112" spans="3:23" x14ac:dyDescent="0.2">
      <c r="C1112" s="5"/>
      <c r="I1112" s="5"/>
      <c r="L1112" s="5"/>
      <c r="M1112" s="5"/>
      <c r="N1112" s="5"/>
      <c r="P1112" s="5"/>
      <c r="Q1112" s="5"/>
      <c r="R1112" s="5"/>
      <c r="S1112" s="5"/>
      <c r="U1112" s="5"/>
      <c r="W1112" s="5"/>
    </row>
    <row r="1113" spans="3:23" x14ac:dyDescent="0.2">
      <c r="C1113" s="5"/>
      <c r="I1113" s="5"/>
      <c r="L1113" s="5"/>
      <c r="M1113" s="5"/>
      <c r="N1113" s="5"/>
      <c r="P1113" s="5"/>
      <c r="Q1113" s="5"/>
      <c r="R1113" s="5"/>
      <c r="S1113" s="5"/>
      <c r="U1113" s="5"/>
      <c r="W1113" s="5"/>
    </row>
    <row r="1114" spans="3:23" x14ac:dyDescent="0.2">
      <c r="C1114" s="5"/>
      <c r="I1114" s="5"/>
      <c r="L1114" s="5"/>
      <c r="M1114" s="5"/>
      <c r="N1114" s="5"/>
      <c r="P1114" s="5"/>
      <c r="Q1114" s="5"/>
      <c r="R1114" s="5"/>
      <c r="S1114" s="5"/>
      <c r="U1114" s="5"/>
      <c r="W1114" s="5"/>
    </row>
    <row r="1115" spans="3:23" x14ac:dyDescent="0.2">
      <c r="C1115" s="5"/>
      <c r="I1115" s="5"/>
      <c r="L1115" s="5"/>
      <c r="M1115" s="5"/>
      <c r="N1115" s="5"/>
      <c r="P1115" s="5"/>
      <c r="Q1115" s="5"/>
      <c r="R1115" s="5"/>
      <c r="S1115" s="5"/>
      <c r="U1115" s="5"/>
      <c r="W1115" s="5"/>
    </row>
    <row r="1116" spans="3:23" x14ac:dyDescent="0.2">
      <c r="C1116" s="5"/>
      <c r="I1116" s="5"/>
      <c r="L1116" s="5"/>
      <c r="M1116" s="5"/>
      <c r="N1116" s="5"/>
      <c r="P1116" s="5"/>
      <c r="Q1116" s="5"/>
      <c r="R1116" s="5"/>
      <c r="S1116" s="5"/>
      <c r="U1116" s="5"/>
      <c r="W1116" s="5"/>
    </row>
    <row r="1117" spans="3:23" x14ac:dyDescent="0.2">
      <c r="C1117" s="5"/>
      <c r="I1117" s="5"/>
      <c r="L1117" s="5"/>
      <c r="M1117" s="5"/>
      <c r="N1117" s="5"/>
      <c r="P1117" s="5"/>
      <c r="Q1117" s="5"/>
      <c r="R1117" s="5"/>
      <c r="S1117" s="5"/>
      <c r="U1117" s="5"/>
      <c r="W1117" s="5"/>
    </row>
    <row r="1118" spans="3:23" x14ac:dyDescent="0.2">
      <c r="C1118" s="5"/>
      <c r="I1118" s="5"/>
      <c r="L1118" s="5"/>
      <c r="M1118" s="5"/>
      <c r="N1118" s="5"/>
      <c r="P1118" s="5"/>
      <c r="Q1118" s="5"/>
      <c r="R1118" s="5"/>
      <c r="S1118" s="5"/>
      <c r="U1118" s="5"/>
      <c r="W1118" s="5"/>
    </row>
    <row r="1119" spans="3:23" x14ac:dyDescent="0.2">
      <c r="C1119" s="5"/>
      <c r="I1119" s="5"/>
      <c r="L1119" s="5"/>
      <c r="M1119" s="5"/>
      <c r="N1119" s="5"/>
      <c r="P1119" s="5"/>
      <c r="Q1119" s="5"/>
      <c r="R1119" s="5"/>
      <c r="S1119" s="5"/>
      <c r="U1119" s="5"/>
      <c r="W1119" s="5"/>
    </row>
    <row r="1120" spans="3:23" x14ac:dyDescent="0.2">
      <c r="C1120" s="5"/>
      <c r="I1120" s="5"/>
      <c r="L1120" s="5"/>
      <c r="M1120" s="5"/>
      <c r="N1120" s="5"/>
      <c r="P1120" s="5"/>
      <c r="Q1120" s="5"/>
      <c r="R1120" s="5"/>
      <c r="S1120" s="5"/>
      <c r="U1120" s="5"/>
      <c r="W1120" s="5"/>
    </row>
    <row r="1121" spans="3:23" x14ac:dyDescent="0.2">
      <c r="C1121" s="5"/>
      <c r="I1121" s="5"/>
      <c r="L1121" s="5"/>
      <c r="M1121" s="5"/>
      <c r="N1121" s="5"/>
      <c r="P1121" s="5"/>
      <c r="Q1121" s="5"/>
      <c r="R1121" s="5"/>
      <c r="S1121" s="5"/>
      <c r="U1121" s="5"/>
      <c r="W1121" s="5"/>
    </row>
    <row r="1122" spans="3:23" x14ac:dyDescent="0.2">
      <c r="C1122" s="5"/>
      <c r="I1122" s="5"/>
      <c r="L1122" s="5"/>
      <c r="M1122" s="5"/>
      <c r="N1122" s="5"/>
      <c r="P1122" s="5"/>
      <c r="Q1122" s="5"/>
      <c r="R1122" s="5"/>
      <c r="S1122" s="5"/>
      <c r="U1122" s="5"/>
      <c r="W1122" s="5"/>
    </row>
    <row r="1123" spans="3:23" x14ac:dyDescent="0.2">
      <c r="C1123" s="5"/>
      <c r="I1123" s="5"/>
      <c r="L1123" s="5"/>
      <c r="M1123" s="5"/>
      <c r="N1123" s="5"/>
      <c r="P1123" s="5"/>
      <c r="Q1123" s="5"/>
      <c r="R1123" s="5"/>
      <c r="S1123" s="5"/>
      <c r="U1123" s="5"/>
      <c r="W1123" s="5"/>
    </row>
    <row r="1124" spans="3:23" x14ac:dyDescent="0.2">
      <c r="C1124" s="5"/>
      <c r="I1124" s="5"/>
      <c r="L1124" s="5"/>
      <c r="M1124" s="5"/>
      <c r="N1124" s="5"/>
      <c r="P1124" s="5"/>
      <c r="Q1124" s="5"/>
      <c r="R1124" s="5"/>
      <c r="S1124" s="5"/>
      <c r="U1124" s="5"/>
      <c r="W1124" s="5"/>
    </row>
    <row r="1125" spans="3:23" x14ac:dyDescent="0.2">
      <c r="C1125" s="5"/>
      <c r="I1125" s="5"/>
      <c r="L1125" s="5"/>
      <c r="M1125" s="5"/>
      <c r="N1125" s="5"/>
      <c r="P1125" s="5"/>
      <c r="Q1125" s="5"/>
      <c r="R1125" s="5"/>
      <c r="S1125" s="5"/>
      <c r="U1125" s="5"/>
      <c r="W1125" s="5"/>
    </row>
    <row r="1126" spans="3:23" x14ac:dyDescent="0.2">
      <c r="C1126" s="5"/>
      <c r="I1126" s="5"/>
      <c r="L1126" s="5"/>
      <c r="M1126" s="5"/>
      <c r="N1126" s="5"/>
      <c r="P1126" s="5"/>
      <c r="Q1126" s="5"/>
      <c r="R1126" s="5"/>
      <c r="S1126" s="5"/>
      <c r="U1126" s="5"/>
      <c r="W1126" s="5"/>
    </row>
    <row r="1127" spans="3:23" x14ac:dyDescent="0.2">
      <c r="C1127" s="5"/>
      <c r="I1127" s="5"/>
      <c r="L1127" s="5"/>
      <c r="M1127" s="5"/>
      <c r="N1127" s="5"/>
      <c r="P1127" s="5"/>
      <c r="Q1127" s="5"/>
      <c r="R1127" s="5"/>
      <c r="S1127" s="5"/>
      <c r="U1127" s="5"/>
      <c r="W1127" s="5"/>
    </row>
    <row r="1128" spans="3:23" x14ac:dyDescent="0.2">
      <c r="C1128" s="5"/>
      <c r="I1128" s="5"/>
      <c r="L1128" s="5"/>
      <c r="M1128" s="5"/>
      <c r="N1128" s="5"/>
      <c r="P1128" s="5"/>
      <c r="Q1128" s="5"/>
      <c r="R1128" s="5"/>
      <c r="S1128" s="5"/>
      <c r="U1128" s="5"/>
      <c r="W1128" s="5"/>
    </row>
    <row r="1129" spans="3:23" x14ac:dyDescent="0.2">
      <c r="C1129" s="5"/>
      <c r="I1129" s="5"/>
      <c r="L1129" s="5"/>
      <c r="M1129" s="5"/>
      <c r="N1129" s="5"/>
      <c r="P1129" s="5"/>
      <c r="Q1129" s="5"/>
      <c r="R1129" s="5"/>
      <c r="S1129" s="5"/>
      <c r="U1129" s="5"/>
      <c r="W1129" s="5"/>
    </row>
    <row r="1130" spans="3:23" x14ac:dyDescent="0.2">
      <c r="C1130" s="5"/>
      <c r="I1130" s="5"/>
      <c r="L1130" s="5"/>
      <c r="M1130" s="5"/>
      <c r="N1130" s="5"/>
      <c r="P1130" s="5"/>
      <c r="Q1130" s="5"/>
      <c r="R1130" s="5"/>
      <c r="S1130" s="5"/>
      <c r="U1130" s="5"/>
      <c r="W1130" s="5"/>
    </row>
    <row r="1131" spans="3:23" x14ac:dyDescent="0.2">
      <c r="C1131" s="5"/>
      <c r="I1131" s="5"/>
      <c r="L1131" s="5"/>
      <c r="M1131" s="5"/>
      <c r="N1131" s="5"/>
      <c r="P1131" s="5"/>
      <c r="Q1131" s="5"/>
      <c r="R1131" s="5"/>
      <c r="S1131" s="5"/>
      <c r="U1131" s="5"/>
      <c r="W1131" s="5"/>
    </row>
    <row r="1132" spans="3:23" x14ac:dyDescent="0.2">
      <c r="C1132" s="5"/>
      <c r="I1132" s="5"/>
      <c r="L1132" s="5"/>
      <c r="M1132" s="5"/>
      <c r="N1132" s="5"/>
      <c r="P1132" s="5"/>
      <c r="Q1132" s="5"/>
      <c r="R1132" s="5"/>
      <c r="S1132" s="5"/>
      <c r="U1132" s="5"/>
      <c r="W1132" s="5"/>
    </row>
    <row r="1133" spans="3:23" x14ac:dyDescent="0.2">
      <c r="C1133" s="5"/>
      <c r="I1133" s="5"/>
      <c r="L1133" s="5"/>
      <c r="M1133" s="5"/>
      <c r="N1133" s="5"/>
      <c r="P1133" s="5"/>
      <c r="Q1133" s="5"/>
      <c r="R1133" s="5"/>
      <c r="S1133" s="5"/>
      <c r="U1133" s="5"/>
      <c r="W1133" s="5"/>
    </row>
    <row r="1134" spans="3:23" x14ac:dyDescent="0.2">
      <c r="C1134" s="5"/>
      <c r="I1134" s="5"/>
      <c r="L1134" s="5"/>
      <c r="M1134" s="5"/>
      <c r="N1134" s="5"/>
      <c r="P1134" s="5"/>
      <c r="Q1134" s="5"/>
      <c r="R1134" s="5"/>
      <c r="S1134" s="5"/>
      <c r="U1134" s="5"/>
      <c r="W1134" s="5"/>
    </row>
    <row r="1135" spans="3:23" x14ac:dyDescent="0.2">
      <c r="C1135" s="5"/>
      <c r="I1135" s="5"/>
      <c r="L1135" s="5"/>
      <c r="M1135" s="5"/>
      <c r="N1135" s="5"/>
      <c r="P1135" s="5"/>
      <c r="Q1135" s="5"/>
      <c r="R1135" s="5"/>
      <c r="S1135" s="5"/>
      <c r="U1135" s="5"/>
      <c r="W1135" s="5"/>
    </row>
    <row r="1136" spans="3:23" x14ac:dyDescent="0.2">
      <c r="C1136" s="5"/>
      <c r="I1136" s="5"/>
      <c r="L1136" s="5"/>
      <c r="M1136" s="5"/>
      <c r="N1136" s="5"/>
      <c r="P1136" s="5"/>
      <c r="Q1136" s="5"/>
      <c r="R1136" s="5"/>
      <c r="S1136" s="5"/>
      <c r="U1136" s="5"/>
      <c r="W1136" s="5"/>
    </row>
    <row r="1137" spans="3:23" x14ac:dyDescent="0.2">
      <c r="C1137" s="5"/>
      <c r="I1137" s="5"/>
      <c r="L1137" s="5"/>
      <c r="M1137" s="5"/>
      <c r="N1137" s="5"/>
      <c r="P1137" s="5"/>
      <c r="Q1137" s="5"/>
      <c r="R1137" s="5"/>
      <c r="S1137" s="5"/>
      <c r="U1137" s="5"/>
      <c r="W1137" s="5"/>
    </row>
    <row r="1138" spans="3:23" x14ac:dyDescent="0.2">
      <c r="C1138" s="5"/>
      <c r="I1138" s="5"/>
      <c r="L1138" s="5"/>
      <c r="M1138" s="5"/>
      <c r="N1138" s="5"/>
      <c r="P1138" s="5"/>
      <c r="Q1138" s="5"/>
      <c r="R1138" s="5"/>
      <c r="S1138" s="5"/>
      <c r="U1138" s="5"/>
      <c r="W1138" s="5"/>
    </row>
    <row r="1139" spans="3:23" x14ac:dyDescent="0.2">
      <c r="C1139" s="5"/>
      <c r="I1139" s="5"/>
      <c r="L1139" s="5"/>
      <c r="M1139" s="5"/>
      <c r="N1139" s="5"/>
      <c r="P1139" s="5"/>
      <c r="Q1139" s="5"/>
      <c r="R1139" s="5"/>
      <c r="S1139" s="5"/>
      <c r="U1139" s="5"/>
      <c r="W1139" s="5"/>
    </row>
    <row r="1140" spans="3:23" x14ac:dyDescent="0.2">
      <c r="C1140" s="5"/>
      <c r="I1140" s="5"/>
      <c r="L1140" s="5"/>
      <c r="M1140" s="5"/>
      <c r="N1140" s="5"/>
      <c r="P1140" s="5"/>
      <c r="Q1140" s="5"/>
      <c r="R1140" s="5"/>
      <c r="S1140" s="5"/>
      <c r="U1140" s="5"/>
      <c r="W1140" s="5"/>
    </row>
    <row r="1141" spans="3:23" x14ac:dyDescent="0.2">
      <c r="C1141" s="5"/>
      <c r="I1141" s="5"/>
      <c r="L1141" s="5"/>
      <c r="M1141" s="5"/>
      <c r="N1141" s="5"/>
      <c r="P1141" s="5"/>
      <c r="Q1141" s="5"/>
      <c r="R1141" s="5"/>
      <c r="S1141" s="5"/>
      <c r="U1141" s="5"/>
      <c r="W1141" s="5"/>
    </row>
    <row r="1142" spans="3:23" x14ac:dyDescent="0.2">
      <c r="C1142" s="5"/>
      <c r="I1142" s="5"/>
      <c r="L1142" s="5"/>
      <c r="M1142" s="5"/>
      <c r="N1142" s="5"/>
      <c r="P1142" s="5"/>
      <c r="Q1142" s="5"/>
      <c r="R1142" s="5"/>
      <c r="S1142" s="5"/>
      <c r="U1142" s="5"/>
      <c r="W1142" s="5"/>
    </row>
    <row r="1143" spans="3:23" x14ac:dyDescent="0.2">
      <c r="C1143" s="5"/>
      <c r="I1143" s="5"/>
      <c r="L1143" s="5"/>
      <c r="M1143" s="5"/>
      <c r="N1143" s="5"/>
      <c r="P1143" s="5"/>
      <c r="Q1143" s="5"/>
      <c r="R1143" s="5"/>
      <c r="S1143" s="5"/>
      <c r="U1143" s="5"/>
      <c r="W1143" s="5"/>
    </row>
    <row r="1144" spans="3:23" x14ac:dyDescent="0.2">
      <c r="C1144" s="5"/>
      <c r="I1144" s="5"/>
      <c r="L1144" s="5"/>
      <c r="M1144" s="5"/>
      <c r="N1144" s="5"/>
      <c r="P1144" s="5"/>
      <c r="Q1144" s="5"/>
      <c r="R1144" s="5"/>
      <c r="S1144" s="5"/>
      <c r="U1144" s="5"/>
      <c r="W1144" s="5"/>
    </row>
    <row r="1145" spans="3:23" x14ac:dyDescent="0.2">
      <c r="C1145" s="5"/>
      <c r="I1145" s="5"/>
      <c r="L1145" s="5"/>
      <c r="M1145" s="5"/>
      <c r="N1145" s="5"/>
      <c r="P1145" s="5"/>
      <c r="Q1145" s="5"/>
      <c r="R1145" s="5"/>
      <c r="S1145" s="5"/>
      <c r="U1145" s="5"/>
      <c r="W1145" s="5"/>
    </row>
    <row r="1146" spans="3:23" x14ac:dyDescent="0.2">
      <c r="C1146" s="5"/>
      <c r="I1146" s="5"/>
      <c r="L1146" s="5"/>
      <c r="M1146" s="5"/>
      <c r="N1146" s="5"/>
      <c r="P1146" s="5"/>
      <c r="Q1146" s="5"/>
      <c r="R1146" s="5"/>
      <c r="S1146" s="5"/>
      <c r="U1146" s="5"/>
      <c r="W1146" s="5"/>
    </row>
    <row r="1147" spans="3:23" x14ac:dyDescent="0.2">
      <c r="C1147" s="5"/>
      <c r="I1147" s="5"/>
      <c r="L1147" s="5"/>
      <c r="M1147" s="5"/>
      <c r="N1147" s="5"/>
      <c r="P1147" s="5"/>
      <c r="Q1147" s="5"/>
      <c r="R1147" s="5"/>
      <c r="S1147" s="5"/>
      <c r="U1147" s="5"/>
      <c r="W1147" s="5"/>
    </row>
    <row r="1148" spans="3:23" x14ac:dyDescent="0.2">
      <c r="C1148" s="5"/>
      <c r="I1148" s="5"/>
      <c r="L1148" s="5"/>
      <c r="M1148" s="5"/>
      <c r="N1148" s="5"/>
      <c r="P1148" s="5"/>
      <c r="Q1148" s="5"/>
      <c r="R1148" s="5"/>
      <c r="S1148" s="5"/>
      <c r="U1148" s="5"/>
      <c r="W1148" s="5"/>
    </row>
    <row r="1149" spans="3:23" x14ac:dyDescent="0.2">
      <c r="C1149" s="5"/>
      <c r="I1149" s="5"/>
      <c r="L1149" s="5"/>
      <c r="M1149" s="5"/>
      <c r="N1149" s="5"/>
      <c r="P1149" s="5"/>
      <c r="Q1149" s="5"/>
      <c r="R1149" s="5"/>
      <c r="S1149" s="5"/>
      <c r="U1149" s="5"/>
      <c r="W1149" s="5"/>
    </row>
    <row r="1150" spans="3:23" x14ac:dyDescent="0.2">
      <c r="C1150" s="5"/>
      <c r="I1150" s="5"/>
      <c r="L1150" s="5"/>
      <c r="M1150" s="5"/>
      <c r="N1150" s="5"/>
      <c r="P1150" s="5"/>
      <c r="Q1150" s="5"/>
      <c r="R1150" s="5"/>
      <c r="S1150" s="5"/>
      <c r="U1150" s="5"/>
      <c r="W1150" s="5"/>
    </row>
    <row r="1151" spans="3:23" x14ac:dyDescent="0.2">
      <c r="C1151" s="5"/>
      <c r="I1151" s="5"/>
      <c r="L1151" s="5"/>
      <c r="M1151" s="5"/>
      <c r="N1151" s="5"/>
      <c r="P1151" s="5"/>
      <c r="Q1151" s="5"/>
      <c r="R1151" s="5"/>
      <c r="S1151" s="5"/>
      <c r="U1151" s="5"/>
      <c r="W1151" s="5"/>
    </row>
    <row r="1152" spans="3:23" x14ac:dyDescent="0.2">
      <c r="C1152" s="5"/>
      <c r="I1152" s="5"/>
      <c r="L1152" s="5"/>
      <c r="M1152" s="5"/>
      <c r="N1152" s="5"/>
      <c r="P1152" s="5"/>
      <c r="Q1152" s="5"/>
      <c r="R1152" s="5"/>
      <c r="S1152" s="5"/>
      <c r="U1152" s="5"/>
      <c r="W1152" s="5"/>
    </row>
    <row r="1153" spans="3:23" x14ac:dyDescent="0.2">
      <c r="C1153" s="5"/>
      <c r="I1153" s="5"/>
      <c r="L1153" s="5"/>
      <c r="M1153" s="5"/>
      <c r="N1153" s="5"/>
      <c r="P1153" s="5"/>
      <c r="Q1153" s="5"/>
      <c r="R1153" s="5"/>
      <c r="S1153" s="5"/>
      <c r="U1153" s="5"/>
      <c r="W1153" s="5"/>
    </row>
    <row r="1154" spans="3:23" x14ac:dyDescent="0.2">
      <c r="C1154" s="5"/>
      <c r="I1154" s="5"/>
      <c r="L1154" s="5"/>
      <c r="M1154" s="5"/>
      <c r="N1154" s="5"/>
      <c r="P1154" s="5"/>
      <c r="Q1154" s="5"/>
      <c r="R1154" s="5"/>
      <c r="S1154" s="5"/>
      <c r="U1154" s="5"/>
      <c r="W1154" s="5"/>
    </row>
    <row r="1155" spans="3:23" x14ac:dyDescent="0.2">
      <c r="C1155" s="5"/>
      <c r="I1155" s="5"/>
      <c r="L1155" s="5"/>
      <c r="M1155" s="5"/>
      <c r="N1155" s="5"/>
      <c r="P1155" s="5"/>
      <c r="Q1155" s="5"/>
      <c r="R1155" s="5"/>
      <c r="S1155" s="5"/>
      <c r="U1155" s="5"/>
      <c r="W1155" s="5"/>
    </row>
    <row r="1156" spans="3:23" x14ac:dyDescent="0.2">
      <c r="C1156" s="5"/>
      <c r="I1156" s="5"/>
      <c r="L1156" s="5"/>
      <c r="M1156" s="5"/>
      <c r="N1156" s="5"/>
      <c r="P1156" s="5"/>
      <c r="Q1156" s="5"/>
      <c r="R1156" s="5"/>
      <c r="S1156" s="5"/>
      <c r="U1156" s="5"/>
      <c r="W1156" s="5"/>
    </row>
    <row r="1157" spans="3:23" x14ac:dyDescent="0.2">
      <c r="C1157" s="5"/>
      <c r="I1157" s="5"/>
      <c r="L1157" s="5"/>
      <c r="M1157" s="5"/>
      <c r="N1157" s="5"/>
      <c r="P1157" s="5"/>
      <c r="Q1157" s="5"/>
      <c r="R1157" s="5"/>
      <c r="S1157" s="5"/>
      <c r="U1157" s="5"/>
      <c r="W1157" s="5"/>
    </row>
    <row r="1158" spans="3:23" x14ac:dyDescent="0.2">
      <c r="C1158" s="5"/>
      <c r="I1158" s="5"/>
      <c r="L1158" s="5"/>
      <c r="M1158" s="5"/>
      <c r="N1158" s="5"/>
      <c r="P1158" s="5"/>
      <c r="Q1158" s="5"/>
      <c r="R1158" s="5"/>
      <c r="S1158" s="5"/>
      <c r="U1158" s="5"/>
      <c r="W1158" s="5"/>
    </row>
    <row r="1159" spans="3:23" x14ac:dyDescent="0.2">
      <c r="C1159" s="5"/>
      <c r="I1159" s="5"/>
      <c r="L1159" s="5"/>
      <c r="M1159" s="5"/>
      <c r="N1159" s="5"/>
      <c r="P1159" s="5"/>
      <c r="Q1159" s="5"/>
      <c r="R1159" s="5"/>
      <c r="S1159" s="5"/>
      <c r="U1159" s="5"/>
      <c r="W1159" s="5"/>
    </row>
    <row r="1160" spans="3:23" x14ac:dyDescent="0.2">
      <c r="C1160" s="5"/>
      <c r="I1160" s="5"/>
      <c r="L1160" s="5"/>
      <c r="M1160" s="5"/>
      <c r="N1160" s="5"/>
      <c r="P1160" s="5"/>
      <c r="Q1160" s="5"/>
      <c r="R1160" s="5"/>
      <c r="S1160" s="5"/>
      <c r="U1160" s="5"/>
      <c r="W1160" s="5"/>
    </row>
    <row r="1161" spans="3:23" x14ac:dyDescent="0.2">
      <c r="C1161" s="5"/>
      <c r="I1161" s="5"/>
      <c r="L1161" s="5"/>
      <c r="M1161" s="5"/>
      <c r="N1161" s="5"/>
      <c r="P1161" s="5"/>
      <c r="Q1161" s="5"/>
      <c r="R1161" s="5"/>
      <c r="S1161" s="5"/>
      <c r="U1161" s="5"/>
      <c r="W1161" s="5"/>
    </row>
    <row r="1162" spans="3:23" x14ac:dyDescent="0.2">
      <c r="C1162" s="5"/>
      <c r="I1162" s="5"/>
      <c r="L1162" s="5"/>
      <c r="M1162" s="5"/>
      <c r="N1162" s="5"/>
      <c r="P1162" s="5"/>
      <c r="Q1162" s="5"/>
      <c r="R1162" s="5"/>
      <c r="S1162" s="5"/>
      <c r="U1162" s="5"/>
      <c r="W1162" s="5"/>
    </row>
    <row r="1163" spans="3:23" x14ac:dyDescent="0.2">
      <c r="C1163" s="5"/>
      <c r="I1163" s="5"/>
      <c r="L1163" s="5"/>
      <c r="M1163" s="5"/>
      <c r="N1163" s="5"/>
      <c r="P1163" s="5"/>
      <c r="Q1163" s="5"/>
      <c r="R1163" s="5"/>
      <c r="S1163" s="5"/>
      <c r="U1163" s="5"/>
      <c r="W1163" s="5"/>
    </row>
    <row r="1164" spans="3:23" x14ac:dyDescent="0.2">
      <c r="C1164" s="5"/>
      <c r="I1164" s="5"/>
      <c r="L1164" s="5"/>
      <c r="M1164" s="5"/>
      <c r="N1164" s="5"/>
      <c r="P1164" s="5"/>
      <c r="Q1164" s="5"/>
      <c r="R1164" s="5"/>
      <c r="S1164" s="5"/>
      <c r="U1164" s="5"/>
      <c r="W1164" s="5"/>
    </row>
    <row r="1165" spans="3:23" x14ac:dyDescent="0.2">
      <c r="C1165" s="5"/>
      <c r="I1165" s="5"/>
      <c r="L1165" s="5"/>
      <c r="M1165" s="5"/>
      <c r="N1165" s="5"/>
      <c r="P1165" s="5"/>
      <c r="Q1165" s="5"/>
      <c r="R1165" s="5"/>
      <c r="S1165" s="5"/>
      <c r="U1165" s="5"/>
      <c r="W1165" s="5"/>
    </row>
    <row r="1166" spans="3:23" x14ac:dyDescent="0.2">
      <c r="C1166" s="5"/>
      <c r="I1166" s="5"/>
      <c r="L1166" s="5"/>
      <c r="M1166" s="5"/>
      <c r="N1166" s="5"/>
      <c r="P1166" s="5"/>
      <c r="Q1166" s="5"/>
      <c r="R1166" s="5"/>
      <c r="S1166" s="5"/>
      <c r="U1166" s="5"/>
      <c r="W1166" s="5"/>
    </row>
    <row r="1167" spans="3:23" x14ac:dyDescent="0.2">
      <c r="C1167" s="5"/>
      <c r="I1167" s="5"/>
      <c r="L1167" s="5"/>
      <c r="M1167" s="5"/>
      <c r="N1167" s="5"/>
      <c r="P1167" s="5"/>
      <c r="Q1167" s="5"/>
      <c r="R1167" s="5"/>
      <c r="S1167" s="5"/>
      <c r="U1167" s="5"/>
      <c r="W1167" s="5"/>
    </row>
    <row r="1168" spans="3:23" x14ac:dyDescent="0.2">
      <c r="C1168" s="5"/>
      <c r="I1168" s="5"/>
      <c r="L1168" s="5"/>
      <c r="M1168" s="5"/>
      <c r="N1168" s="5"/>
      <c r="P1168" s="5"/>
      <c r="Q1168" s="5"/>
      <c r="R1168" s="5"/>
      <c r="S1168" s="5"/>
      <c r="U1168" s="5"/>
      <c r="W1168" s="5"/>
    </row>
    <row r="1169" spans="3:23" x14ac:dyDescent="0.2">
      <c r="C1169" s="5"/>
      <c r="I1169" s="5"/>
      <c r="L1169" s="5"/>
      <c r="M1169" s="5"/>
      <c r="N1169" s="5"/>
      <c r="P1169" s="5"/>
      <c r="Q1169" s="5"/>
      <c r="R1169" s="5"/>
      <c r="S1169" s="5"/>
      <c r="U1169" s="5"/>
      <c r="W1169" s="5"/>
    </row>
    <row r="1170" spans="3:23" x14ac:dyDescent="0.2">
      <c r="C1170" s="5"/>
      <c r="I1170" s="5"/>
      <c r="L1170" s="5"/>
      <c r="M1170" s="5"/>
      <c r="N1170" s="5"/>
      <c r="P1170" s="5"/>
      <c r="Q1170" s="5"/>
      <c r="R1170" s="5"/>
      <c r="S1170" s="5"/>
      <c r="U1170" s="5"/>
      <c r="W1170" s="5"/>
    </row>
    <row r="1171" spans="3:23" x14ac:dyDescent="0.2">
      <c r="C1171" s="5"/>
      <c r="I1171" s="5"/>
      <c r="L1171" s="5"/>
      <c r="M1171" s="5"/>
      <c r="N1171" s="5"/>
      <c r="P1171" s="5"/>
      <c r="Q1171" s="5"/>
      <c r="R1171" s="5"/>
      <c r="S1171" s="5"/>
      <c r="U1171" s="5"/>
      <c r="W1171" s="5"/>
    </row>
    <row r="1172" spans="3:23" x14ac:dyDescent="0.2">
      <c r="C1172" s="5"/>
      <c r="I1172" s="5"/>
      <c r="L1172" s="5"/>
      <c r="M1172" s="5"/>
      <c r="N1172" s="5"/>
      <c r="P1172" s="5"/>
      <c r="Q1172" s="5"/>
      <c r="R1172" s="5"/>
      <c r="S1172" s="5"/>
      <c r="U1172" s="5"/>
      <c r="W1172" s="5"/>
    </row>
    <row r="1173" spans="3:23" x14ac:dyDescent="0.2">
      <c r="C1173" s="5"/>
      <c r="I1173" s="5"/>
      <c r="L1173" s="5"/>
      <c r="M1173" s="5"/>
      <c r="N1173" s="5"/>
      <c r="P1173" s="5"/>
      <c r="Q1173" s="5"/>
      <c r="R1173" s="5"/>
      <c r="S1173" s="5"/>
      <c r="U1173" s="5"/>
      <c r="W1173" s="5"/>
    </row>
    <row r="1174" spans="3:23" x14ac:dyDescent="0.2">
      <c r="C1174" s="5"/>
      <c r="I1174" s="5"/>
      <c r="L1174" s="5"/>
      <c r="M1174" s="5"/>
      <c r="N1174" s="5"/>
      <c r="P1174" s="5"/>
      <c r="Q1174" s="5"/>
      <c r="R1174" s="5"/>
      <c r="S1174" s="5"/>
      <c r="U1174" s="5"/>
      <c r="W1174" s="5"/>
    </row>
    <row r="1175" spans="3:23" x14ac:dyDescent="0.2">
      <c r="C1175" s="5"/>
      <c r="I1175" s="5"/>
      <c r="L1175" s="5"/>
      <c r="M1175" s="5"/>
      <c r="N1175" s="5"/>
      <c r="P1175" s="5"/>
      <c r="Q1175" s="5"/>
      <c r="R1175" s="5"/>
      <c r="S1175" s="5"/>
      <c r="U1175" s="5"/>
      <c r="W1175" s="5"/>
    </row>
    <row r="1176" spans="3:23" x14ac:dyDescent="0.2">
      <c r="C1176" s="5"/>
      <c r="I1176" s="5"/>
      <c r="L1176" s="5"/>
      <c r="M1176" s="5"/>
      <c r="N1176" s="5"/>
      <c r="P1176" s="5"/>
      <c r="Q1176" s="5"/>
      <c r="R1176" s="5"/>
      <c r="S1176" s="5"/>
      <c r="U1176" s="5"/>
      <c r="W1176" s="5"/>
    </row>
    <row r="1177" spans="3:23" x14ac:dyDescent="0.2">
      <c r="C1177" s="5"/>
      <c r="I1177" s="5"/>
      <c r="L1177" s="5"/>
      <c r="M1177" s="5"/>
      <c r="N1177" s="5"/>
      <c r="P1177" s="5"/>
      <c r="Q1177" s="5"/>
      <c r="R1177" s="5"/>
      <c r="S1177" s="5"/>
      <c r="U1177" s="5"/>
      <c r="W1177" s="5"/>
    </row>
    <row r="1178" spans="3:23" x14ac:dyDescent="0.2">
      <c r="C1178" s="5"/>
      <c r="I1178" s="5"/>
      <c r="L1178" s="5"/>
      <c r="M1178" s="5"/>
      <c r="N1178" s="5"/>
      <c r="P1178" s="5"/>
      <c r="Q1178" s="5"/>
      <c r="R1178" s="5"/>
      <c r="S1178" s="5"/>
      <c r="U1178" s="5"/>
      <c r="W1178" s="5"/>
    </row>
    <row r="1179" spans="3:23" x14ac:dyDescent="0.2">
      <c r="C1179" s="5"/>
      <c r="I1179" s="5"/>
      <c r="L1179" s="5"/>
      <c r="M1179" s="5"/>
      <c r="N1179" s="5"/>
      <c r="P1179" s="5"/>
      <c r="Q1179" s="5"/>
      <c r="R1179" s="5"/>
      <c r="S1179" s="5"/>
      <c r="U1179" s="5"/>
      <c r="W1179" s="5"/>
    </row>
    <row r="1180" spans="3:23" x14ac:dyDescent="0.2">
      <c r="C1180" s="5"/>
      <c r="I1180" s="5"/>
      <c r="L1180" s="5"/>
      <c r="M1180" s="5"/>
      <c r="N1180" s="5"/>
      <c r="P1180" s="5"/>
      <c r="Q1180" s="5"/>
      <c r="R1180" s="5"/>
      <c r="S1180" s="5"/>
      <c r="U1180" s="5"/>
      <c r="W1180" s="5"/>
    </row>
    <row r="1181" spans="3:23" x14ac:dyDescent="0.2">
      <c r="C1181" s="5"/>
      <c r="I1181" s="5"/>
      <c r="L1181" s="5"/>
      <c r="M1181" s="5"/>
      <c r="N1181" s="5"/>
      <c r="P1181" s="5"/>
      <c r="Q1181" s="5"/>
      <c r="R1181" s="5"/>
      <c r="S1181" s="5"/>
      <c r="U1181" s="5"/>
      <c r="W1181" s="5"/>
    </row>
    <row r="1182" spans="3:23" x14ac:dyDescent="0.2">
      <c r="C1182" s="5"/>
      <c r="I1182" s="5"/>
      <c r="L1182" s="5"/>
      <c r="M1182" s="5"/>
      <c r="N1182" s="5"/>
      <c r="P1182" s="5"/>
      <c r="Q1182" s="5"/>
      <c r="R1182" s="5"/>
      <c r="S1182" s="5"/>
      <c r="U1182" s="5"/>
      <c r="W1182" s="5"/>
    </row>
    <row r="1183" spans="3:23" x14ac:dyDescent="0.2">
      <c r="C1183" s="5"/>
      <c r="I1183" s="5"/>
      <c r="L1183" s="5"/>
      <c r="M1183" s="5"/>
      <c r="N1183" s="5"/>
      <c r="P1183" s="5"/>
      <c r="Q1183" s="5"/>
      <c r="R1183" s="5"/>
      <c r="S1183" s="5"/>
      <c r="U1183" s="5"/>
      <c r="W1183" s="5"/>
    </row>
    <row r="1184" spans="3:23" x14ac:dyDescent="0.2">
      <c r="C1184" s="5"/>
      <c r="I1184" s="5"/>
      <c r="L1184" s="5"/>
      <c r="M1184" s="5"/>
      <c r="N1184" s="5"/>
      <c r="P1184" s="5"/>
      <c r="Q1184" s="5"/>
      <c r="R1184" s="5"/>
      <c r="S1184" s="5"/>
      <c r="U1184" s="5"/>
      <c r="W1184" s="5"/>
    </row>
    <row r="1185" spans="3:23" x14ac:dyDescent="0.2">
      <c r="C1185" s="5"/>
      <c r="I1185" s="5"/>
      <c r="L1185" s="5"/>
      <c r="M1185" s="5"/>
      <c r="N1185" s="5"/>
      <c r="P1185" s="5"/>
      <c r="Q1185" s="5"/>
      <c r="R1185" s="5"/>
      <c r="S1185" s="5"/>
      <c r="U1185" s="5"/>
      <c r="W1185" s="5"/>
    </row>
    <row r="1186" spans="3:23" x14ac:dyDescent="0.2">
      <c r="C1186" s="5"/>
      <c r="I1186" s="5"/>
      <c r="L1186" s="5"/>
      <c r="M1186" s="5"/>
      <c r="N1186" s="5"/>
      <c r="P1186" s="5"/>
      <c r="Q1186" s="5"/>
      <c r="R1186" s="5"/>
      <c r="S1186" s="5"/>
      <c r="U1186" s="5"/>
      <c r="W1186" s="5"/>
    </row>
    <row r="1187" spans="3:23" x14ac:dyDescent="0.2">
      <c r="C1187" s="5"/>
      <c r="I1187" s="5"/>
      <c r="L1187" s="5"/>
      <c r="M1187" s="5"/>
      <c r="N1187" s="5"/>
      <c r="P1187" s="5"/>
      <c r="Q1187" s="5"/>
      <c r="R1187" s="5"/>
      <c r="S1187" s="5"/>
      <c r="U1187" s="5"/>
      <c r="W1187" s="5"/>
    </row>
    <row r="1188" spans="3:23" x14ac:dyDescent="0.2">
      <c r="C1188" s="5"/>
      <c r="I1188" s="5"/>
      <c r="L1188" s="5"/>
      <c r="M1188" s="5"/>
      <c r="N1188" s="5"/>
      <c r="P1188" s="5"/>
      <c r="Q1188" s="5"/>
      <c r="R1188" s="5"/>
      <c r="S1188" s="5"/>
      <c r="U1188" s="5"/>
      <c r="W1188" s="5"/>
    </row>
    <row r="1189" spans="3:23" x14ac:dyDescent="0.2">
      <c r="C1189" s="5"/>
      <c r="I1189" s="5"/>
      <c r="L1189" s="5"/>
      <c r="M1189" s="5"/>
      <c r="N1189" s="5"/>
      <c r="P1189" s="5"/>
      <c r="Q1189" s="5"/>
      <c r="R1189" s="5"/>
      <c r="S1189" s="5"/>
      <c r="U1189" s="5"/>
      <c r="W1189" s="5"/>
    </row>
    <row r="1190" spans="3:23" x14ac:dyDescent="0.2">
      <c r="C1190" s="5"/>
      <c r="I1190" s="5"/>
      <c r="L1190" s="5"/>
      <c r="M1190" s="5"/>
      <c r="N1190" s="5"/>
      <c r="P1190" s="5"/>
      <c r="Q1190" s="5"/>
      <c r="R1190" s="5"/>
      <c r="S1190" s="5"/>
      <c r="U1190" s="5"/>
      <c r="W1190" s="5"/>
    </row>
    <row r="1191" spans="3:23" x14ac:dyDescent="0.2">
      <c r="C1191" s="5"/>
      <c r="I1191" s="5"/>
      <c r="L1191" s="5"/>
      <c r="M1191" s="5"/>
      <c r="N1191" s="5"/>
      <c r="P1191" s="5"/>
      <c r="Q1191" s="5"/>
      <c r="R1191" s="5"/>
      <c r="S1191" s="5"/>
      <c r="U1191" s="5"/>
      <c r="W1191" s="5"/>
    </row>
    <row r="1192" spans="3:23" x14ac:dyDescent="0.2">
      <c r="C1192" s="5"/>
      <c r="I1192" s="5"/>
      <c r="L1192" s="5"/>
      <c r="M1192" s="5"/>
      <c r="N1192" s="5"/>
      <c r="P1192" s="5"/>
      <c r="Q1192" s="5"/>
      <c r="R1192" s="5"/>
      <c r="S1192" s="5"/>
      <c r="U1192" s="5"/>
      <c r="W1192" s="5"/>
    </row>
    <row r="1193" spans="3:23" x14ac:dyDescent="0.2">
      <c r="C1193" s="5"/>
      <c r="I1193" s="5"/>
      <c r="L1193" s="5"/>
      <c r="M1193" s="5"/>
      <c r="N1193" s="5"/>
      <c r="P1193" s="5"/>
      <c r="Q1193" s="5"/>
      <c r="R1193" s="5"/>
      <c r="S1193" s="5"/>
      <c r="U1193" s="5"/>
      <c r="W1193" s="5"/>
    </row>
    <row r="1194" spans="3:23" x14ac:dyDescent="0.2">
      <c r="C1194" s="5"/>
      <c r="I1194" s="5"/>
      <c r="L1194" s="5"/>
      <c r="M1194" s="5"/>
      <c r="N1194" s="5"/>
      <c r="P1194" s="5"/>
      <c r="Q1194" s="5"/>
      <c r="R1194" s="5"/>
      <c r="S1194" s="5"/>
      <c r="U1194" s="5"/>
      <c r="W1194" s="5"/>
    </row>
    <row r="1195" spans="3:23" x14ac:dyDescent="0.2">
      <c r="C1195" s="5"/>
      <c r="I1195" s="5"/>
      <c r="L1195" s="5"/>
      <c r="M1195" s="5"/>
      <c r="N1195" s="5"/>
      <c r="P1195" s="5"/>
      <c r="Q1195" s="5"/>
      <c r="R1195" s="5"/>
      <c r="S1195" s="5"/>
      <c r="U1195" s="5"/>
      <c r="W1195" s="5"/>
    </row>
    <row r="1196" spans="3:23" x14ac:dyDescent="0.2">
      <c r="C1196" s="5"/>
      <c r="I1196" s="5"/>
      <c r="L1196" s="5"/>
      <c r="M1196" s="5"/>
      <c r="N1196" s="5"/>
      <c r="P1196" s="5"/>
      <c r="Q1196" s="5"/>
      <c r="R1196" s="5"/>
      <c r="S1196" s="5"/>
      <c r="U1196" s="5"/>
      <c r="W1196" s="5"/>
    </row>
    <row r="1197" spans="3:23" x14ac:dyDescent="0.2">
      <c r="C1197" s="5"/>
      <c r="I1197" s="5"/>
      <c r="L1197" s="5"/>
      <c r="M1197" s="5"/>
      <c r="N1197" s="5"/>
      <c r="P1197" s="5"/>
      <c r="Q1197" s="5"/>
      <c r="R1197" s="5"/>
      <c r="S1197" s="5"/>
      <c r="U1197" s="5"/>
      <c r="W1197" s="5"/>
    </row>
    <row r="1198" spans="3:23" x14ac:dyDescent="0.2">
      <c r="C1198" s="5"/>
      <c r="I1198" s="5"/>
      <c r="L1198" s="5"/>
      <c r="M1198" s="5"/>
      <c r="N1198" s="5"/>
      <c r="P1198" s="5"/>
      <c r="Q1198" s="5"/>
      <c r="R1198" s="5"/>
      <c r="S1198" s="5"/>
      <c r="U1198" s="5"/>
      <c r="W1198" s="5"/>
    </row>
    <row r="1199" spans="3:23" x14ac:dyDescent="0.2">
      <c r="C1199" s="5"/>
      <c r="I1199" s="5"/>
      <c r="L1199" s="5"/>
      <c r="M1199" s="5"/>
      <c r="N1199" s="5"/>
      <c r="P1199" s="5"/>
      <c r="Q1199" s="5"/>
      <c r="R1199" s="5"/>
      <c r="S1199" s="5"/>
      <c r="U1199" s="5"/>
      <c r="W1199" s="5"/>
    </row>
    <row r="1200" spans="3:23" x14ac:dyDescent="0.2">
      <c r="C1200" s="5"/>
      <c r="I1200" s="5"/>
      <c r="L1200" s="5"/>
      <c r="M1200" s="5"/>
      <c r="N1200" s="5"/>
      <c r="P1200" s="5"/>
      <c r="Q1200" s="5"/>
      <c r="R1200" s="5"/>
      <c r="S1200" s="5"/>
      <c r="U1200" s="5"/>
      <c r="W1200" s="5"/>
    </row>
    <row r="1201" spans="3:23" x14ac:dyDescent="0.2">
      <c r="C1201" s="5"/>
      <c r="I1201" s="5"/>
      <c r="L1201" s="5"/>
      <c r="M1201" s="5"/>
      <c r="N1201" s="5"/>
      <c r="P1201" s="5"/>
      <c r="Q1201" s="5"/>
      <c r="R1201" s="5"/>
      <c r="S1201" s="5"/>
      <c r="U1201" s="5"/>
      <c r="W1201" s="5"/>
    </row>
    <row r="1202" spans="3:23" x14ac:dyDescent="0.2">
      <c r="C1202" s="5"/>
      <c r="I1202" s="5"/>
      <c r="L1202" s="5"/>
      <c r="M1202" s="5"/>
      <c r="N1202" s="5"/>
      <c r="P1202" s="5"/>
      <c r="Q1202" s="5"/>
      <c r="R1202" s="5"/>
      <c r="S1202" s="5"/>
      <c r="U1202" s="5"/>
      <c r="W1202" s="5"/>
    </row>
    <row r="1203" spans="3:23" x14ac:dyDescent="0.2">
      <c r="C1203" s="5"/>
      <c r="I1203" s="5"/>
      <c r="L1203" s="5"/>
      <c r="M1203" s="5"/>
      <c r="N1203" s="5"/>
      <c r="P1203" s="5"/>
      <c r="Q1203" s="5"/>
      <c r="R1203" s="5"/>
      <c r="S1203" s="5"/>
      <c r="U1203" s="5"/>
      <c r="W1203" s="5"/>
    </row>
    <row r="1204" spans="3:23" x14ac:dyDescent="0.2">
      <c r="C1204" s="5"/>
      <c r="I1204" s="5"/>
      <c r="L1204" s="5"/>
      <c r="M1204" s="5"/>
      <c r="N1204" s="5"/>
      <c r="P1204" s="5"/>
      <c r="Q1204" s="5"/>
      <c r="R1204" s="5"/>
      <c r="S1204" s="5"/>
      <c r="U1204" s="5"/>
      <c r="W1204" s="5"/>
    </row>
    <row r="1205" spans="3:23" x14ac:dyDescent="0.2">
      <c r="C1205" s="5"/>
      <c r="I1205" s="5"/>
      <c r="L1205" s="5"/>
      <c r="M1205" s="5"/>
      <c r="N1205" s="5"/>
      <c r="P1205" s="5"/>
      <c r="Q1205" s="5"/>
      <c r="R1205" s="5"/>
      <c r="S1205" s="5"/>
      <c r="U1205" s="5"/>
      <c r="W1205" s="5"/>
    </row>
    <row r="1206" spans="3:23" x14ac:dyDescent="0.2">
      <c r="C1206" s="5"/>
      <c r="I1206" s="5"/>
      <c r="L1206" s="5"/>
      <c r="M1206" s="5"/>
      <c r="N1206" s="5"/>
      <c r="P1206" s="5"/>
      <c r="Q1206" s="5"/>
      <c r="R1206" s="5"/>
      <c r="S1206" s="5"/>
      <c r="U1206" s="5"/>
      <c r="W1206" s="5"/>
    </row>
    <row r="1207" spans="3:23" x14ac:dyDescent="0.2">
      <c r="C1207" s="5"/>
      <c r="I1207" s="5"/>
      <c r="L1207" s="5"/>
      <c r="M1207" s="5"/>
      <c r="N1207" s="5"/>
      <c r="P1207" s="5"/>
      <c r="Q1207" s="5"/>
      <c r="R1207" s="5"/>
      <c r="S1207" s="5"/>
      <c r="U1207" s="5"/>
      <c r="W1207" s="5"/>
    </row>
    <row r="1208" spans="3:23" x14ac:dyDescent="0.2">
      <c r="C1208" s="5"/>
      <c r="I1208" s="5"/>
      <c r="L1208" s="5"/>
      <c r="M1208" s="5"/>
      <c r="N1208" s="5"/>
      <c r="P1208" s="5"/>
      <c r="Q1208" s="5"/>
      <c r="R1208" s="5"/>
      <c r="S1208" s="5"/>
      <c r="U1208" s="5"/>
      <c r="W1208" s="5"/>
    </row>
    <row r="1209" spans="3:23" x14ac:dyDescent="0.2">
      <c r="C1209" s="5"/>
      <c r="I1209" s="5"/>
      <c r="L1209" s="5"/>
      <c r="M1209" s="5"/>
      <c r="N1209" s="5"/>
      <c r="P1209" s="5"/>
      <c r="Q1209" s="5"/>
      <c r="R1209" s="5"/>
      <c r="S1209" s="5"/>
      <c r="U1209" s="5"/>
      <c r="W1209" s="5"/>
    </row>
    <row r="1210" spans="3:23" x14ac:dyDescent="0.2">
      <c r="C1210" s="5"/>
      <c r="I1210" s="5"/>
      <c r="L1210" s="5"/>
      <c r="M1210" s="5"/>
      <c r="N1210" s="5"/>
      <c r="P1210" s="5"/>
      <c r="Q1210" s="5"/>
      <c r="R1210" s="5"/>
      <c r="S1210" s="5"/>
      <c r="U1210" s="5"/>
      <c r="W1210" s="5"/>
    </row>
    <row r="1211" spans="3:23" x14ac:dyDescent="0.2">
      <c r="C1211" s="5"/>
      <c r="I1211" s="5"/>
      <c r="L1211" s="5"/>
      <c r="M1211" s="5"/>
      <c r="N1211" s="5"/>
      <c r="P1211" s="5"/>
      <c r="Q1211" s="5"/>
      <c r="R1211" s="5"/>
      <c r="S1211" s="5"/>
      <c r="U1211" s="5"/>
      <c r="W1211" s="5"/>
    </row>
    <row r="1212" spans="3:23" x14ac:dyDescent="0.2">
      <c r="C1212" s="5"/>
      <c r="I1212" s="5"/>
      <c r="L1212" s="5"/>
      <c r="M1212" s="5"/>
      <c r="N1212" s="5"/>
      <c r="P1212" s="5"/>
      <c r="Q1212" s="5"/>
      <c r="R1212" s="5"/>
      <c r="S1212" s="5"/>
      <c r="U1212" s="5"/>
      <c r="W1212" s="5"/>
    </row>
    <row r="1213" spans="3:23" x14ac:dyDescent="0.2">
      <c r="C1213" s="5"/>
      <c r="I1213" s="5"/>
      <c r="L1213" s="5"/>
      <c r="M1213" s="5"/>
      <c r="N1213" s="5"/>
      <c r="P1213" s="5"/>
      <c r="Q1213" s="5"/>
      <c r="R1213" s="5"/>
      <c r="S1213" s="5"/>
      <c r="U1213" s="5"/>
      <c r="W1213" s="5"/>
    </row>
    <row r="1214" spans="3:23" x14ac:dyDescent="0.2">
      <c r="C1214" s="5"/>
      <c r="I1214" s="5"/>
      <c r="L1214" s="5"/>
      <c r="M1214" s="5"/>
      <c r="N1214" s="5"/>
      <c r="P1214" s="5"/>
      <c r="Q1214" s="5"/>
      <c r="R1214" s="5"/>
      <c r="S1214" s="5"/>
      <c r="U1214" s="5"/>
      <c r="W1214" s="5"/>
    </row>
    <row r="1215" spans="3:23" x14ac:dyDescent="0.2">
      <c r="C1215" s="5"/>
      <c r="I1215" s="5"/>
      <c r="L1215" s="5"/>
      <c r="M1215" s="5"/>
      <c r="N1215" s="5"/>
      <c r="P1215" s="5"/>
      <c r="Q1215" s="5"/>
      <c r="R1215" s="5"/>
      <c r="S1215" s="5"/>
      <c r="U1215" s="5"/>
      <c r="W1215" s="5"/>
    </row>
    <row r="1216" spans="3:23" x14ac:dyDescent="0.2">
      <c r="C1216" s="5"/>
      <c r="I1216" s="5"/>
      <c r="L1216" s="5"/>
      <c r="M1216" s="5"/>
      <c r="N1216" s="5"/>
      <c r="P1216" s="5"/>
      <c r="Q1216" s="5"/>
      <c r="R1216" s="5"/>
      <c r="S1216" s="5"/>
      <c r="U1216" s="5"/>
      <c r="W1216" s="5"/>
    </row>
    <row r="1217" spans="3:23" x14ac:dyDescent="0.2">
      <c r="C1217" s="5"/>
      <c r="I1217" s="5"/>
      <c r="L1217" s="5"/>
      <c r="M1217" s="5"/>
      <c r="N1217" s="5"/>
      <c r="P1217" s="5"/>
      <c r="Q1217" s="5"/>
      <c r="R1217" s="5"/>
      <c r="S1217" s="5"/>
      <c r="U1217" s="5"/>
      <c r="W1217" s="5"/>
    </row>
    <row r="1218" spans="3:23" x14ac:dyDescent="0.2">
      <c r="C1218" s="5"/>
      <c r="I1218" s="5"/>
      <c r="L1218" s="5"/>
      <c r="M1218" s="5"/>
      <c r="N1218" s="5"/>
      <c r="P1218" s="5"/>
      <c r="Q1218" s="5"/>
      <c r="R1218" s="5"/>
      <c r="S1218" s="5"/>
      <c r="U1218" s="5"/>
      <c r="W1218" s="5"/>
    </row>
    <row r="1219" spans="3:23" x14ac:dyDescent="0.2">
      <c r="C1219" s="5"/>
      <c r="I1219" s="5"/>
      <c r="L1219" s="5"/>
      <c r="M1219" s="5"/>
      <c r="N1219" s="5"/>
      <c r="P1219" s="5"/>
      <c r="Q1219" s="5"/>
      <c r="R1219" s="5"/>
      <c r="S1219" s="5"/>
      <c r="U1219" s="5"/>
      <c r="W1219" s="5"/>
    </row>
    <row r="1220" spans="3:23" x14ac:dyDescent="0.2">
      <c r="C1220" s="5"/>
      <c r="I1220" s="5"/>
      <c r="L1220" s="5"/>
      <c r="M1220" s="5"/>
      <c r="N1220" s="5"/>
      <c r="P1220" s="5"/>
      <c r="Q1220" s="5"/>
      <c r="R1220" s="5"/>
      <c r="S1220" s="5"/>
      <c r="U1220" s="5"/>
      <c r="W1220" s="5"/>
    </row>
    <row r="1221" spans="3:23" x14ac:dyDescent="0.2">
      <c r="C1221" s="5"/>
      <c r="I1221" s="5"/>
      <c r="L1221" s="5"/>
      <c r="M1221" s="5"/>
      <c r="N1221" s="5"/>
      <c r="P1221" s="5"/>
      <c r="Q1221" s="5"/>
      <c r="R1221" s="5"/>
      <c r="S1221" s="5"/>
      <c r="U1221" s="5"/>
      <c r="W1221" s="5"/>
    </row>
    <row r="1222" spans="3:23" x14ac:dyDescent="0.2">
      <c r="C1222" s="5"/>
      <c r="I1222" s="5"/>
      <c r="L1222" s="5"/>
      <c r="M1222" s="5"/>
      <c r="N1222" s="5"/>
      <c r="P1222" s="5"/>
      <c r="Q1222" s="5"/>
      <c r="R1222" s="5"/>
      <c r="S1222" s="5"/>
      <c r="U1222" s="5"/>
      <c r="W1222" s="5"/>
    </row>
    <row r="1223" spans="3:23" x14ac:dyDescent="0.2">
      <c r="C1223" s="5"/>
      <c r="I1223" s="5"/>
      <c r="L1223" s="5"/>
      <c r="M1223" s="5"/>
      <c r="N1223" s="5"/>
      <c r="P1223" s="5"/>
      <c r="Q1223" s="5"/>
      <c r="R1223" s="5"/>
      <c r="S1223" s="5"/>
      <c r="U1223" s="5"/>
      <c r="W1223" s="5"/>
    </row>
    <row r="1224" spans="3:23" x14ac:dyDescent="0.2">
      <c r="C1224" s="5"/>
      <c r="I1224" s="5"/>
      <c r="L1224" s="5"/>
      <c r="M1224" s="5"/>
      <c r="N1224" s="5"/>
      <c r="P1224" s="5"/>
      <c r="Q1224" s="5"/>
      <c r="R1224" s="5"/>
      <c r="S1224" s="5"/>
      <c r="U1224" s="5"/>
      <c r="W1224" s="5"/>
    </row>
    <row r="1225" spans="3:23" x14ac:dyDescent="0.2">
      <c r="C1225" s="5"/>
      <c r="I1225" s="5"/>
      <c r="L1225" s="5"/>
      <c r="M1225" s="5"/>
      <c r="N1225" s="5"/>
      <c r="P1225" s="5"/>
      <c r="Q1225" s="5"/>
      <c r="R1225" s="5"/>
      <c r="S1225" s="5"/>
      <c r="U1225" s="5"/>
      <c r="W1225" s="5"/>
    </row>
    <row r="1226" spans="3:23" x14ac:dyDescent="0.2">
      <c r="C1226" s="5"/>
      <c r="I1226" s="5"/>
      <c r="L1226" s="5"/>
      <c r="M1226" s="5"/>
      <c r="N1226" s="5"/>
      <c r="P1226" s="5"/>
      <c r="Q1226" s="5"/>
      <c r="R1226" s="5"/>
      <c r="S1226" s="5"/>
      <c r="U1226" s="5"/>
      <c r="W1226" s="5"/>
    </row>
    <row r="1227" spans="3:23" x14ac:dyDescent="0.2">
      <c r="C1227" s="5"/>
      <c r="I1227" s="5"/>
      <c r="L1227" s="5"/>
      <c r="M1227" s="5"/>
      <c r="N1227" s="5"/>
      <c r="P1227" s="5"/>
      <c r="Q1227" s="5"/>
      <c r="R1227" s="5"/>
      <c r="S1227" s="5"/>
      <c r="U1227" s="5"/>
      <c r="W1227" s="5"/>
    </row>
    <row r="1228" spans="3:23" x14ac:dyDescent="0.2">
      <c r="C1228" s="5"/>
      <c r="I1228" s="5"/>
      <c r="L1228" s="5"/>
      <c r="M1228" s="5"/>
      <c r="N1228" s="5"/>
      <c r="P1228" s="5"/>
      <c r="Q1228" s="5"/>
      <c r="R1228" s="5"/>
      <c r="S1228" s="5"/>
      <c r="U1228" s="5"/>
      <c r="W1228" s="5"/>
    </row>
    <row r="1229" spans="3:23" x14ac:dyDescent="0.2">
      <c r="C1229" s="5"/>
      <c r="I1229" s="5"/>
      <c r="L1229" s="5"/>
      <c r="M1229" s="5"/>
      <c r="N1229" s="5"/>
      <c r="P1229" s="5"/>
      <c r="Q1229" s="5"/>
      <c r="R1229" s="5"/>
      <c r="S1229" s="5"/>
      <c r="U1229" s="5"/>
      <c r="W1229" s="5"/>
    </row>
    <row r="1230" spans="3:23" x14ac:dyDescent="0.2">
      <c r="C1230" s="5"/>
      <c r="I1230" s="5"/>
      <c r="L1230" s="5"/>
      <c r="M1230" s="5"/>
      <c r="N1230" s="5"/>
      <c r="P1230" s="5"/>
      <c r="Q1230" s="5"/>
      <c r="R1230" s="5"/>
      <c r="S1230" s="5"/>
      <c r="U1230" s="5"/>
      <c r="W1230" s="5"/>
    </row>
    <row r="1231" spans="3:23" x14ac:dyDescent="0.2">
      <c r="C1231" s="5"/>
      <c r="I1231" s="5"/>
      <c r="L1231" s="5"/>
      <c r="M1231" s="5"/>
      <c r="N1231" s="5"/>
      <c r="P1231" s="5"/>
      <c r="Q1231" s="5"/>
      <c r="R1231" s="5"/>
      <c r="S1231" s="5"/>
      <c r="U1231" s="5"/>
      <c r="W1231" s="5"/>
    </row>
    <row r="1232" spans="3:23" x14ac:dyDescent="0.2">
      <c r="C1232" s="5"/>
      <c r="I1232" s="5"/>
      <c r="L1232" s="5"/>
      <c r="M1232" s="5"/>
      <c r="N1232" s="5"/>
      <c r="P1232" s="5"/>
      <c r="Q1232" s="5"/>
      <c r="R1232" s="5"/>
      <c r="S1232" s="5"/>
      <c r="U1232" s="5"/>
      <c r="W1232" s="5"/>
    </row>
    <row r="1233" spans="3:23" x14ac:dyDescent="0.2">
      <c r="C1233" s="5"/>
      <c r="I1233" s="5"/>
      <c r="L1233" s="5"/>
      <c r="M1233" s="5"/>
      <c r="N1233" s="5"/>
      <c r="P1233" s="5"/>
      <c r="Q1233" s="5"/>
      <c r="R1233" s="5"/>
      <c r="S1233" s="5"/>
      <c r="U1233" s="5"/>
      <c r="W1233" s="5"/>
    </row>
    <row r="1234" spans="3:23" x14ac:dyDescent="0.2">
      <c r="C1234" s="5"/>
      <c r="I1234" s="5"/>
      <c r="L1234" s="5"/>
      <c r="M1234" s="5"/>
      <c r="N1234" s="5"/>
      <c r="P1234" s="5"/>
      <c r="Q1234" s="5"/>
      <c r="R1234" s="5"/>
      <c r="S1234" s="5"/>
      <c r="U1234" s="5"/>
      <c r="W1234" s="5"/>
    </row>
    <row r="1235" spans="3:23" x14ac:dyDescent="0.2">
      <c r="C1235" s="5"/>
      <c r="I1235" s="5"/>
      <c r="L1235" s="5"/>
      <c r="M1235" s="5"/>
      <c r="N1235" s="5"/>
      <c r="P1235" s="5"/>
      <c r="Q1235" s="5"/>
      <c r="R1235" s="5"/>
      <c r="S1235" s="5"/>
      <c r="U1235" s="5"/>
      <c r="W1235" s="5"/>
    </row>
    <row r="1236" spans="3:23" x14ac:dyDescent="0.2">
      <c r="C1236" s="5"/>
      <c r="I1236" s="5"/>
      <c r="L1236" s="5"/>
      <c r="M1236" s="5"/>
      <c r="N1236" s="5"/>
      <c r="P1236" s="5"/>
      <c r="Q1236" s="5"/>
      <c r="R1236" s="5"/>
      <c r="S1236" s="5"/>
      <c r="U1236" s="5"/>
      <c r="W1236" s="5"/>
    </row>
    <row r="1237" spans="3:23" x14ac:dyDescent="0.2">
      <c r="C1237" s="5"/>
      <c r="I1237" s="5"/>
      <c r="L1237" s="5"/>
      <c r="M1237" s="5"/>
      <c r="N1237" s="5"/>
      <c r="P1237" s="5"/>
      <c r="Q1237" s="5"/>
      <c r="R1237" s="5"/>
      <c r="S1237" s="5"/>
      <c r="U1237" s="5"/>
      <c r="W1237" s="5"/>
    </row>
    <row r="1238" spans="3:23" x14ac:dyDescent="0.2">
      <c r="C1238" s="5"/>
      <c r="I1238" s="5"/>
      <c r="L1238" s="5"/>
      <c r="M1238" s="5"/>
      <c r="N1238" s="5"/>
      <c r="P1238" s="5"/>
      <c r="Q1238" s="5"/>
      <c r="R1238" s="5"/>
      <c r="S1238" s="5"/>
      <c r="U1238" s="5"/>
      <c r="W1238" s="5"/>
    </row>
    <row r="1239" spans="3:23" x14ac:dyDescent="0.2">
      <c r="C1239" s="5"/>
      <c r="I1239" s="5"/>
      <c r="L1239" s="5"/>
      <c r="M1239" s="5"/>
      <c r="N1239" s="5"/>
      <c r="P1239" s="5"/>
      <c r="Q1239" s="5"/>
      <c r="R1239" s="5"/>
      <c r="S1239" s="5"/>
      <c r="U1239" s="5"/>
      <c r="W1239" s="5"/>
    </row>
    <row r="1240" spans="3:23" x14ac:dyDescent="0.2">
      <c r="C1240" s="5"/>
      <c r="I1240" s="5"/>
      <c r="L1240" s="5"/>
      <c r="M1240" s="5"/>
      <c r="N1240" s="5"/>
      <c r="P1240" s="5"/>
      <c r="Q1240" s="5"/>
      <c r="R1240" s="5"/>
      <c r="S1240" s="5"/>
      <c r="U1240" s="5"/>
      <c r="W1240" s="5"/>
    </row>
    <row r="1241" spans="3:23" x14ac:dyDescent="0.2">
      <c r="C1241" s="5"/>
      <c r="I1241" s="5"/>
      <c r="L1241" s="5"/>
      <c r="M1241" s="5"/>
      <c r="N1241" s="5"/>
      <c r="P1241" s="5"/>
      <c r="Q1241" s="5"/>
      <c r="R1241" s="5"/>
      <c r="S1241" s="5"/>
      <c r="U1241" s="5"/>
      <c r="W1241" s="5"/>
    </row>
    <row r="1242" spans="3:23" x14ac:dyDescent="0.2">
      <c r="C1242" s="5"/>
      <c r="I1242" s="5"/>
      <c r="L1242" s="5"/>
      <c r="M1242" s="5"/>
      <c r="N1242" s="5"/>
      <c r="P1242" s="5"/>
      <c r="Q1242" s="5"/>
      <c r="R1242" s="5"/>
      <c r="S1242" s="5"/>
      <c r="U1242" s="5"/>
      <c r="W1242" s="5"/>
    </row>
    <row r="1243" spans="3:23" x14ac:dyDescent="0.2">
      <c r="C1243" s="5"/>
      <c r="I1243" s="5"/>
      <c r="L1243" s="5"/>
      <c r="M1243" s="5"/>
      <c r="N1243" s="5"/>
      <c r="P1243" s="5"/>
      <c r="Q1243" s="5"/>
      <c r="R1243" s="5"/>
      <c r="S1243" s="5"/>
      <c r="U1243" s="5"/>
      <c r="W1243" s="5"/>
    </row>
    <row r="1244" spans="3:23" x14ac:dyDescent="0.2">
      <c r="C1244" s="5"/>
      <c r="I1244" s="5"/>
      <c r="L1244" s="5"/>
      <c r="M1244" s="5"/>
      <c r="N1244" s="5"/>
      <c r="P1244" s="5"/>
      <c r="Q1244" s="5"/>
      <c r="R1244" s="5"/>
      <c r="S1244" s="5"/>
      <c r="U1244" s="5"/>
      <c r="W1244" s="5"/>
    </row>
    <row r="1245" spans="3:23" x14ac:dyDescent="0.2">
      <c r="C1245" s="5"/>
      <c r="I1245" s="5"/>
      <c r="L1245" s="5"/>
      <c r="M1245" s="5"/>
      <c r="N1245" s="5"/>
      <c r="P1245" s="5"/>
      <c r="Q1245" s="5"/>
      <c r="R1245" s="5"/>
      <c r="S1245" s="5"/>
      <c r="U1245" s="5"/>
      <c r="W1245" s="5"/>
    </row>
    <row r="1246" spans="3:23" x14ac:dyDescent="0.2">
      <c r="C1246" s="5"/>
      <c r="I1246" s="5"/>
      <c r="L1246" s="5"/>
      <c r="M1246" s="5"/>
      <c r="N1246" s="5"/>
      <c r="P1246" s="5"/>
      <c r="Q1246" s="5"/>
      <c r="R1246" s="5"/>
      <c r="S1246" s="5"/>
      <c r="U1246" s="5"/>
      <c r="W1246" s="5"/>
    </row>
    <row r="1247" spans="3:23" x14ac:dyDescent="0.2">
      <c r="C1247" s="5"/>
      <c r="I1247" s="5"/>
      <c r="L1247" s="5"/>
      <c r="M1247" s="5"/>
      <c r="N1247" s="5"/>
      <c r="P1247" s="5"/>
      <c r="Q1247" s="5"/>
      <c r="R1247" s="5"/>
      <c r="S1247" s="5"/>
      <c r="U1247" s="5"/>
      <c r="W1247" s="5"/>
    </row>
    <row r="1248" spans="3:23" x14ac:dyDescent="0.2">
      <c r="C1248" s="5"/>
      <c r="I1248" s="5"/>
      <c r="L1248" s="5"/>
      <c r="M1248" s="5"/>
      <c r="N1248" s="5"/>
      <c r="P1248" s="5"/>
      <c r="Q1248" s="5"/>
      <c r="R1248" s="5"/>
      <c r="S1248" s="5"/>
      <c r="U1248" s="5"/>
      <c r="W1248" s="5"/>
    </row>
    <row r="1249" spans="3:23" x14ac:dyDescent="0.2">
      <c r="C1249" s="5"/>
      <c r="I1249" s="5"/>
      <c r="L1249" s="5"/>
      <c r="M1249" s="5"/>
      <c r="N1249" s="5"/>
      <c r="P1249" s="5"/>
      <c r="Q1249" s="5"/>
      <c r="R1249" s="5"/>
      <c r="S1249" s="5"/>
      <c r="U1249" s="5"/>
      <c r="W1249" s="5"/>
    </row>
    <row r="1250" spans="3:23" x14ac:dyDescent="0.2">
      <c r="C1250" s="5"/>
      <c r="I1250" s="5"/>
      <c r="L1250" s="5"/>
      <c r="M1250" s="5"/>
      <c r="N1250" s="5"/>
      <c r="P1250" s="5"/>
      <c r="Q1250" s="5"/>
      <c r="R1250" s="5"/>
      <c r="S1250" s="5"/>
      <c r="U1250" s="5"/>
      <c r="W1250" s="5"/>
    </row>
    <row r="1251" spans="3:23" x14ac:dyDescent="0.2">
      <c r="C1251" s="5"/>
      <c r="I1251" s="5"/>
      <c r="L1251" s="5"/>
      <c r="M1251" s="5"/>
      <c r="N1251" s="5"/>
      <c r="P1251" s="5"/>
      <c r="Q1251" s="5"/>
      <c r="R1251" s="5"/>
      <c r="S1251" s="5"/>
      <c r="U1251" s="5"/>
      <c r="W1251" s="5"/>
    </row>
    <row r="1252" spans="3:23" x14ac:dyDescent="0.2">
      <c r="C1252" s="5"/>
      <c r="I1252" s="5"/>
      <c r="L1252" s="5"/>
      <c r="M1252" s="5"/>
      <c r="N1252" s="5"/>
      <c r="P1252" s="5"/>
      <c r="Q1252" s="5"/>
      <c r="R1252" s="5"/>
      <c r="S1252" s="5"/>
      <c r="U1252" s="5"/>
      <c r="W1252" s="5"/>
    </row>
    <row r="1253" spans="3:23" x14ac:dyDescent="0.2">
      <c r="C1253" s="5"/>
      <c r="I1253" s="5"/>
      <c r="L1253" s="5"/>
      <c r="M1253" s="5"/>
      <c r="N1253" s="5"/>
      <c r="P1253" s="5"/>
      <c r="Q1253" s="5"/>
      <c r="R1253" s="5"/>
      <c r="S1253" s="5"/>
      <c r="U1253" s="5"/>
      <c r="W1253" s="5"/>
    </row>
    <row r="1254" spans="3:23" x14ac:dyDescent="0.2">
      <c r="C1254" s="5"/>
      <c r="I1254" s="5"/>
      <c r="L1254" s="5"/>
      <c r="M1254" s="5"/>
      <c r="N1254" s="5"/>
      <c r="P1254" s="5"/>
      <c r="Q1254" s="5"/>
      <c r="R1254" s="5"/>
      <c r="S1254" s="5"/>
      <c r="U1254" s="5"/>
      <c r="W1254" s="5"/>
    </row>
    <row r="1255" spans="3:23" x14ac:dyDescent="0.2">
      <c r="C1255" s="5"/>
      <c r="I1255" s="5"/>
      <c r="L1255" s="5"/>
      <c r="M1255" s="5"/>
      <c r="N1255" s="5"/>
      <c r="P1255" s="5"/>
      <c r="Q1255" s="5"/>
      <c r="R1255" s="5"/>
      <c r="S1255" s="5"/>
      <c r="U1255" s="5"/>
      <c r="W1255" s="5"/>
    </row>
    <row r="1256" spans="3:23" x14ac:dyDescent="0.2">
      <c r="C1256" s="5"/>
      <c r="I1256" s="5"/>
      <c r="L1256" s="5"/>
      <c r="M1256" s="5"/>
      <c r="N1256" s="5"/>
      <c r="P1256" s="5"/>
      <c r="Q1256" s="5"/>
      <c r="R1256" s="5"/>
      <c r="S1256" s="5"/>
      <c r="U1256" s="5"/>
      <c r="W1256" s="5"/>
    </row>
    <row r="1257" spans="3:23" x14ac:dyDescent="0.2">
      <c r="C1257" s="5"/>
      <c r="I1257" s="5"/>
      <c r="L1257" s="5"/>
      <c r="M1257" s="5"/>
      <c r="N1257" s="5"/>
      <c r="P1257" s="5"/>
      <c r="Q1257" s="5"/>
      <c r="R1257" s="5"/>
      <c r="S1257" s="5"/>
      <c r="U1257" s="5"/>
      <c r="W1257" s="5"/>
    </row>
    <row r="1258" spans="3:23" x14ac:dyDescent="0.2">
      <c r="C1258" s="5"/>
      <c r="I1258" s="5"/>
      <c r="L1258" s="5"/>
      <c r="M1258" s="5"/>
      <c r="N1258" s="5"/>
      <c r="P1258" s="5"/>
      <c r="Q1258" s="5"/>
      <c r="R1258" s="5"/>
      <c r="S1258" s="5"/>
      <c r="U1258" s="5"/>
      <c r="W1258" s="5"/>
    </row>
    <row r="1259" spans="3:23" x14ac:dyDescent="0.2">
      <c r="C1259" s="5"/>
      <c r="I1259" s="5"/>
      <c r="L1259" s="5"/>
      <c r="M1259" s="5"/>
      <c r="N1259" s="5"/>
      <c r="P1259" s="5"/>
      <c r="Q1259" s="5"/>
      <c r="R1259" s="5"/>
      <c r="S1259" s="5"/>
      <c r="U1259" s="5"/>
      <c r="W1259" s="5"/>
    </row>
    <row r="1260" spans="3:23" x14ac:dyDescent="0.2">
      <c r="C1260" s="5"/>
      <c r="I1260" s="5"/>
      <c r="L1260" s="5"/>
      <c r="M1260" s="5"/>
      <c r="N1260" s="5"/>
      <c r="P1260" s="5"/>
      <c r="Q1260" s="5"/>
      <c r="R1260" s="5"/>
      <c r="S1260" s="5"/>
      <c r="U1260" s="5"/>
      <c r="W1260" s="5"/>
    </row>
    <row r="1261" spans="3:23" x14ac:dyDescent="0.2">
      <c r="C1261" s="5"/>
      <c r="I1261" s="5"/>
      <c r="L1261" s="5"/>
      <c r="M1261" s="5"/>
      <c r="N1261" s="5"/>
      <c r="P1261" s="5"/>
      <c r="Q1261" s="5"/>
      <c r="R1261" s="5"/>
      <c r="S1261" s="5"/>
      <c r="U1261" s="5"/>
      <c r="W1261" s="5"/>
    </row>
    <row r="1262" spans="3:23" x14ac:dyDescent="0.2">
      <c r="C1262" s="5"/>
      <c r="I1262" s="5"/>
      <c r="L1262" s="5"/>
      <c r="M1262" s="5"/>
      <c r="N1262" s="5"/>
      <c r="P1262" s="5"/>
      <c r="Q1262" s="5"/>
      <c r="R1262" s="5"/>
      <c r="S1262" s="5"/>
      <c r="U1262" s="5"/>
      <c r="W1262" s="5"/>
    </row>
    <row r="1263" spans="3:23" x14ac:dyDescent="0.2">
      <c r="C1263" s="5"/>
      <c r="I1263" s="5"/>
      <c r="L1263" s="5"/>
      <c r="M1263" s="5"/>
      <c r="N1263" s="5"/>
      <c r="P1263" s="5"/>
      <c r="Q1263" s="5"/>
      <c r="R1263" s="5"/>
      <c r="S1263" s="5"/>
      <c r="U1263" s="5"/>
      <c r="W1263" s="5"/>
    </row>
    <row r="1264" spans="3:23" x14ac:dyDescent="0.2">
      <c r="C1264" s="5"/>
      <c r="I1264" s="5"/>
      <c r="L1264" s="5"/>
      <c r="M1264" s="5"/>
      <c r="N1264" s="5"/>
      <c r="P1264" s="5"/>
      <c r="Q1264" s="5"/>
      <c r="R1264" s="5"/>
      <c r="S1264" s="5"/>
      <c r="U1264" s="5"/>
      <c r="W1264" s="5"/>
    </row>
    <row r="1265" spans="3:23" x14ac:dyDescent="0.2">
      <c r="C1265" s="5"/>
      <c r="I1265" s="5"/>
      <c r="L1265" s="5"/>
      <c r="M1265" s="5"/>
      <c r="N1265" s="5"/>
      <c r="P1265" s="5"/>
      <c r="Q1265" s="5"/>
      <c r="R1265" s="5"/>
      <c r="S1265" s="5"/>
      <c r="U1265" s="5"/>
      <c r="W1265" s="5"/>
    </row>
    <row r="1266" spans="3:23" x14ac:dyDescent="0.2">
      <c r="C1266" s="5"/>
      <c r="I1266" s="5"/>
      <c r="L1266" s="5"/>
      <c r="M1266" s="5"/>
      <c r="N1266" s="5"/>
      <c r="P1266" s="5"/>
      <c r="Q1266" s="5"/>
      <c r="R1266" s="5"/>
      <c r="S1266" s="5"/>
      <c r="U1266" s="5"/>
      <c r="W1266" s="5"/>
    </row>
    <row r="1267" spans="3:23" x14ac:dyDescent="0.2">
      <c r="C1267" s="5"/>
      <c r="I1267" s="5"/>
      <c r="L1267" s="5"/>
      <c r="M1267" s="5"/>
      <c r="N1267" s="5"/>
      <c r="P1267" s="5"/>
      <c r="Q1267" s="5"/>
      <c r="R1267" s="5"/>
      <c r="S1267" s="5"/>
      <c r="U1267" s="5"/>
      <c r="W1267" s="5"/>
    </row>
    <row r="1268" spans="3:23" x14ac:dyDescent="0.2">
      <c r="C1268" s="5"/>
      <c r="I1268" s="5"/>
      <c r="L1268" s="5"/>
      <c r="M1268" s="5"/>
      <c r="N1268" s="5"/>
      <c r="P1268" s="5"/>
      <c r="Q1268" s="5"/>
      <c r="R1268" s="5"/>
      <c r="S1268" s="5"/>
      <c r="U1268" s="5"/>
      <c r="W1268" s="5"/>
    </row>
    <row r="1269" spans="3:23" x14ac:dyDescent="0.2">
      <c r="C1269" s="5"/>
      <c r="I1269" s="5"/>
      <c r="L1269" s="5"/>
      <c r="M1269" s="5"/>
      <c r="N1269" s="5"/>
      <c r="P1269" s="5"/>
      <c r="Q1269" s="5"/>
      <c r="R1269" s="5"/>
      <c r="S1269" s="5"/>
      <c r="U1269" s="5"/>
      <c r="W1269" s="5"/>
    </row>
    <row r="1270" spans="3:23" x14ac:dyDescent="0.2">
      <c r="C1270" s="5"/>
      <c r="I1270" s="5"/>
      <c r="L1270" s="5"/>
      <c r="M1270" s="5"/>
      <c r="N1270" s="5"/>
      <c r="P1270" s="5"/>
      <c r="Q1270" s="5"/>
      <c r="R1270" s="5"/>
      <c r="S1270" s="5"/>
      <c r="U1270" s="5"/>
      <c r="W1270" s="5"/>
    </row>
    <row r="1271" spans="3:23" x14ac:dyDescent="0.2">
      <c r="C1271" s="5"/>
      <c r="I1271" s="5"/>
      <c r="L1271" s="5"/>
      <c r="M1271" s="5"/>
      <c r="N1271" s="5"/>
      <c r="P1271" s="5"/>
      <c r="Q1271" s="5"/>
      <c r="R1271" s="5"/>
      <c r="S1271" s="5"/>
      <c r="U1271" s="5"/>
      <c r="W1271" s="5"/>
    </row>
    <row r="1272" spans="3:23" x14ac:dyDescent="0.2">
      <c r="C1272" s="5"/>
      <c r="I1272" s="5"/>
      <c r="L1272" s="5"/>
      <c r="M1272" s="5"/>
      <c r="N1272" s="5"/>
      <c r="P1272" s="5"/>
      <c r="Q1272" s="5"/>
      <c r="R1272" s="5"/>
      <c r="S1272" s="5"/>
      <c r="U1272" s="5"/>
      <c r="W1272" s="5"/>
    </row>
    <row r="1273" spans="3:23" x14ac:dyDescent="0.2">
      <c r="C1273" s="5"/>
      <c r="I1273" s="5"/>
      <c r="L1273" s="5"/>
      <c r="M1273" s="5"/>
      <c r="N1273" s="5"/>
      <c r="P1273" s="5"/>
      <c r="Q1273" s="5"/>
      <c r="R1273" s="5"/>
      <c r="S1273" s="5"/>
      <c r="U1273" s="5"/>
      <c r="W1273" s="5"/>
    </row>
    <row r="1274" spans="3:23" x14ac:dyDescent="0.2">
      <c r="C1274" s="5"/>
      <c r="I1274" s="5"/>
      <c r="L1274" s="5"/>
      <c r="M1274" s="5"/>
      <c r="N1274" s="5"/>
      <c r="P1274" s="5"/>
      <c r="Q1274" s="5"/>
      <c r="R1274" s="5"/>
      <c r="S1274" s="5"/>
      <c r="U1274" s="5"/>
      <c r="W1274" s="5"/>
    </row>
    <row r="1275" spans="3:23" x14ac:dyDescent="0.2">
      <c r="C1275" s="5"/>
      <c r="I1275" s="5"/>
      <c r="L1275" s="5"/>
      <c r="M1275" s="5"/>
      <c r="N1275" s="5"/>
      <c r="P1275" s="5"/>
      <c r="Q1275" s="5"/>
      <c r="R1275" s="5"/>
      <c r="S1275" s="5"/>
      <c r="U1275" s="5"/>
      <c r="W1275" s="5"/>
    </row>
    <row r="1276" spans="3:23" x14ac:dyDescent="0.2">
      <c r="C1276" s="5"/>
      <c r="I1276" s="5"/>
      <c r="L1276" s="5"/>
      <c r="M1276" s="5"/>
      <c r="N1276" s="5"/>
      <c r="P1276" s="5"/>
      <c r="Q1276" s="5"/>
      <c r="R1276" s="5"/>
      <c r="S1276" s="5"/>
      <c r="U1276" s="5"/>
      <c r="W1276" s="5"/>
    </row>
    <row r="1277" spans="3:23" x14ac:dyDescent="0.2">
      <c r="C1277" s="5"/>
      <c r="I1277" s="5"/>
      <c r="L1277" s="5"/>
      <c r="M1277" s="5"/>
      <c r="N1277" s="5"/>
      <c r="P1277" s="5"/>
      <c r="Q1277" s="5"/>
      <c r="R1277" s="5"/>
      <c r="S1277" s="5"/>
      <c r="U1277" s="5"/>
      <c r="W1277" s="5"/>
    </row>
    <row r="1278" spans="3:23" x14ac:dyDescent="0.2">
      <c r="C1278" s="5"/>
      <c r="I1278" s="5"/>
      <c r="L1278" s="5"/>
      <c r="M1278" s="5"/>
      <c r="N1278" s="5"/>
      <c r="P1278" s="5"/>
      <c r="Q1278" s="5"/>
      <c r="R1278" s="5"/>
      <c r="S1278" s="5"/>
      <c r="U1278" s="5"/>
      <c r="W1278" s="5"/>
    </row>
    <row r="1279" spans="3:23" x14ac:dyDescent="0.2">
      <c r="C1279" s="5"/>
      <c r="I1279" s="5"/>
      <c r="L1279" s="5"/>
      <c r="M1279" s="5"/>
      <c r="N1279" s="5"/>
      <c r="P1279" s="5"/>
      <c r="Q1279" s="5"/>
      <c r="R1279" s="5"/>
      <c r="S1279" s="5"/>
      <c r="U1279" s="5"/>
      <c r="W1279" s="5"/>
    </row>
    <row r="1280" spans="3:23" x14ac:dyDescent="0.2">
      <c r="C1280" s="5"/>
      <c r="I1280" s="5"/>
      <c r="L1280" s="5"/>
      <c r="M1280" s="5"/>
      <c r="N1280" s="5"/>
      <c r="P1280" s="5"/>
      <c r="Q1280" s="5"/>
      <c r="R1280" s="5"/>
      <c r="S1280" s="5"/>
      <c r="U1280" s="5"/>
      <c r="W1280" s="5"/>
    </row>
    <row r="1281" spans="3:23" x14ac:dyDescent="0.2">
      <c r="C1281" s="5"/>
      <c r="I1281" s="5"/>
      <c r="L1281" s="5"/>
      <c r="M1281" s="5"/>
      <c r="N1281" s="5"/>
      <c r="P1281" s="5"/>
      <c r="Q1281" s="5"/>
      <c r="R1281" s="5"/>
      <c r="S1281" s="5"/>
      <c r="U1281" s="5"/>
      <c r="W1281" s="5"/>
    </row>
    <row r="1282" spans="3:23" x14ac:dyDescent="0.2">
      <c r="C1282" s="5"/>
      <c r="I1282" s="5"/>
      <c r="L1282" s="5"/>
      <c r="M1282" s="5"/>
      <c r="N1282" s="5"/>
      <c r="P1282" s="5"/>
      <c r="Q1282" s="5"/>
      <c r="R1282" s="5"/>
      <c r="S1282" s="5"/>
      <c r="U1282" s="5"/>
      <c r="W1282" s="5"/>
    </row>
    <row r="1283" spans="3:23" x14ac:dyDescent="0.2">
      <c r="C1283" s="5"/>
      <c r="I1283" s="5"/>
      <c r="L1283" s="5"/>
      <c r="M1283" s="5"/>
      <c r="N1283" s="5"/>
      <c r="P1283" s="5"/>
      <c r="Q1283" s="5"/>
      <c r="R1283" s="5"/>
      <c r="S1283" s="5"/>
      <c r="U1283" s="5"/>
      <c r="W1283" s="5"/>
    </row>
    <row r="1284" spans="3:23" x14ac:dyDescent="0.2">
      <c r="C1284" s="5"/>
      <c r="I1284" s="5"/>
      <c r="L1284" s="5"/>
      <c r="M1284" s="5"/>
      <c r="N1284" s="5"/>
      <c r="P1284" s="5"/>
      <c r="Q1284" s="5"/>
      <c r="R1284" s="5"/>
      <c r="S1284" s="5"/>
      <c r="U1284" s="5"/>
      <c r="W1284" s="5"/>
    </row>
    <row r="1285" spans="3:23" x14ac:dyDescent="0.2">
      <c r="C1285" s="5"/>
      <c r="I1285" s="5"/>
      <c r="L1285" s="5"/>
      <c r="M1285" s="5"/>
      <c r="N1285" s="5"/>
      <c r="P1285" s="5"/>
      <c r="Q1285" s="5"/>
      <c r="R1285" s="5"/>
      <c r="S1285" s="5"/>
      <c r="U1285" s="5"/>
      <c r="W1285" s="5"/>
    </row>
    <row r="1286" spans="3:23" x14ac:dyDescent="0.2">
      <c r="C1286" s="5"/>
      <c r="I1286" s="5"/>
      <c r="L1286" s="5"/>
      <c r="M1286" s="5"/>
      <c r="N1286" s="5"/>
      <c r="P1286" s="5"/>
      <c r="Q1286" s="5"/>
      <c r="R1286" s="5"/>
      <c r="S1286" s="5"/>
      <c r="U1286" s="5"/>
      <c r="W1286" s="5"/>
    </row>
    <row r="1287" spans="3:23" x14ac:dyDescent="0.2">
      <c r="C1287" s="5"/>
      <c r="I1287" s="5"/>
      <c r="L1287" s="5"/>
      <c r="M1287" s="5"/>
      <c r="N1287" s="5"/>
      <c r="P1287" s="5"/>
      <c r="Q1287" s="5"/>
      <c r="R1287" s="5"/>
      <c r="S1287" s="5"/>
      <c r="U1287" s="5"/>
      <c r="W1287" s="5"/>
    </row>
    <row r="1288" spans="3:23" x14ac:dyDescent="0.2">
      <c r="C1288" s="5"/>
      <c r="I1288" s="5"/>
      <c r="L1288" s="5"/>
      <c r="M1288" s="5"/>
      <c r="N1288" s="5"/>
      <c r="P1288" s="5"/>
      <c r="Q1288" s="5"/>
      <c r="R1288" s="5"/>
      <c r="S1288" s="5"/>
      <c r="U1288" s="5"/>
      <c r="W1288" s="5"/>
    </row>
    <row r="1289" spans="3:23" x14ac:dyDescent="0.2">
      <c r="C1289" s="5"/>
      <c r="I1289" s="5"/>
      <c r="L1289" s="5"/>
      <c r="M1289" s="5"/>
      <c r="N1289" s="5"/>
      <c r="P1289" s="5"/>
      <c r="Q1289" s="5"/>
      <c r="R1289" s="5"/>
      <c r="S1289" s="5"/>
      <c r="U1289" s="5"/>
      <c r="W1289" s="5"/>
    </row>
    <row r="1290" spans="3:23" x14ac:dyDescent="0.2">
      <c r="C1290" s="5"/>
      <c r="I1290" s="5"/>
      <c r="L1290" s="5"/>
      <c r="M1290" s="5"/>
      <c r="N1290" s="5"/>
      <c r="P1290" s="5"/>
      <c r="Q1290" s="5"/>
      <c r="R1290" s="5"/>
      <c r="S1290" s="5"/>
      <c r="U1290" s="5"/>
      <c r="W1290" s="5"/>
    </row>
    <row r="1291" spans="3:23" x14ac:dyDescent="0.2">
      <c r="C1291" s="5"/>
      <c r="I1291" s="5"/>
      <c r="L1291" s="5"/>
      <c r="M1291" s="5"/>
      <c r="N1291" s="5"/>
      <c r="P1291" s="5"/>
      <c r="Q1291" s="5"/>
      <c r="R1291" s="5"/>
      <c r="S1291" s="5"/>
      <c r="U1291" s="5"/>
      <c r="W1291" s="5"/>
    </row>
    <row r="1292" spans="3:23" x14ac:dyDescent="0.2">
      <c r="C1292" s="5"/>
      <c r="I1292" s="5"/>
      <c r="L1292" s="5"/>
      <c r="M1292" s="5"/>
      <c r="N1292" s="5"/>
      <c r="P1292" s="5"/>
      <c r="Q1292" s="5"/>
      <c r="R1292" s="5"/>
      <c r="S1292" s="5"/>
      <c r="U1292" s="5"/>
      <c r="W1292" s="5"/>
    </row>
    <row r="1293" spans="3:23" x14ac:dyDescent="0.2">
      <c r="C1293" s="5"/>
      <c r="I1293" s="5"/>
      <c r="L1293" s="5"/>
      <c r="M1293" s="5"/>
      <c r="N1293" s="5"/>
      <c r="P1293" s="5"/>
      <c r="Q1293" s="5"/>
      <c r="R1293" s="5"/>
      <c r="S1293" s="5"/>
      <c r="U1293" s="5"/>
      <c r="W1293" s="5"/>
    </row>
    <row r="1294" spans="3:23" x14ac:dyDescent="0.2">
      <c r="C1294" s="5"/>
      <c r="I1294" s="5"/>
      <c r="L1294" s="5"/>
      <c r="M1294" s="5"/>
      <c r="N1294" s="5"/>
      <c r="P1294" s="5"/>
      <c r="Q1294" s="5"/>
      <c r="R1294" s="5"/>
      <c r="S1294" s="5"/>
      <c r="U1294" s="5"/>
      <c r="W1294" s="5"/>
    </row>
    <row r="1295" spans="3:23" x14ac:dyDescent="0.2">
      <c r="C1295" s="5"/>
      <c r="I1295" s="5"/>
      <c r="L1295" s="5"/>
      <c r="M1295" s="5"/>
      <c r="N1295" s="5"/>
      <c r="P1295" s="5"/>
      <c r="Q1295" s="5"/>
      <c r="R1295" s="5"/>
      <c r="S1295" s="5"/>
      <c r="U1295" s="5"/>
      <c r="W1295" s="5"/>
    </row>
    <row r="1296" spans="3:23" x14ac:dyDescent="0.2">
      <c r="C1296" s="5"/>
      <c r="I1296" s="5"/>
      <c r="L1296" s="5"/>
      <c r="M1296" s="5"/>
      <c r="N1296" s="5"/>
      <c r="P1296" s="5"/>
      <c r="Q1296" s="5"/>
      <c r="R1296" s="5"/>
      <c r="S1296" s="5"/>
      <c r="U1296" s="5"/>
      <c r="W1296" s="5"/>
    </row>
    <row r="1297" spans="3:23" x14ac:dyDescent="0.2">
      <c r="C1297" s="5"/>
      <c r="I1297" s="5"/>
      <c r="L1297" s="5"/>
      <c r="M1297" s="5"/>
      <c r="N1297" s="5"/>
      <c r="P1297" s="5"/>
      <c r="Q1297" s="5"/>
      <c r="R1297" s="5"/>
      <c r="S1297" s="5"/>
      <c r="U1297" s="5"/>
      <c r="W1297" s="5"/>
    </row>
    <row r="1298" spans="3:23" x14ac:dyDescent="0.2">
      <c r="C1298" s="5"/>
      <c r="I1298" s="5"/>
      <c r="L1298" s="5"/>
      <c r="M1298" s="5"/>
      <c r="N1298" s="5"/>
      <c r="P1298" s="5"/>
      <c r="Q1298" s="5"/>
      <c r="R1298" s="5"/>
      <c r="S1298" s="5"/>
      <c r="U1298" s="5"/>
      <c r="W1298" s="5"/>
    </row>
    <row r="1299" spans="3:23" x14ac:dyDescent="0.2">
      <c r="C1299" s="5"/>
      <c r="I1299" s="5"/>
      <c r="L1299" s="5"/>
      <c r="M1299" s="5"/>
      <c r="N1299" s="5"/>
      <c r="P1299" s="5"/>
      <c r="Q1299" s="5"/>
      <c r="R1299" s="5"/>
      <c r="S1299" s="5"/>
      <c r="U1299" s="5"/>
      <c r="W1299" s="5"/>
    </row>
    <row r="1300" spans="3:23" x14ac:dyDescent="0.2">
      <c r="C1300" s="5"/>
      <c r="I1300" s="5"/>
      <c r="L1300" s="5"/>
      <c r="M1300" s="5"/>
      <c r="N1300" s="5"/>
      <c r="P1300" s="5"/>
      <c r="Q1300" s="5"/>
      <c r="R1300" s="5"/>
      <c r="S1300" s="5"/>
      <c r="U1300" s="5"/>
      <c r="W1300" s="5"/>
    </row>
    <row r="1301" spans="3:23" x14ac:dyDescent="0.2">
      <c r="C1301" s="5"/>
      <c r="I1301" s="5"/>
      <c r="L1301" s="5"/>
      <c r="M1301" s="5"/>
      <c r="N1301" s="5"/>
      <c r="P1301" s="5"/>
      <c r="Q1301" s="5"/>
      <c r="R1301" s="5"/>
      <c r="S1301" s="5"/>
      <c r="U1301" s="5"/>
      <c r="W1301" s="5"/>
    </row>
    <row r="1302" spans="3:23" x14ac:dyDescent="0.2">
      <c r="C1302" s="5"/>
      <c r="I1302" s="5"/>
      <c r="L1302" s="5"/>
      <c r="M1302" s="5"/>
      <c r="N1302" s="5"/>
      <c r="P1302" s="5"/>
      <c r="Q1302" s="5"/>
      <c r="R1302" s="5"/>
      <c r="S1302" s="5"/>
      <c r="U1302" s="5"/>
      <c r="W1302" s="5"/>
    </row>
    <row r="1303" spans="3:23" x14ac:dyDescent="0.2">
      <c r="C1303" s="5"/>
      <c r="I1303" s="5"/>
      <c r="L1303" s="5"/>
      <c r="M1303" s="5"/>
      <c r="N1303" s="5"/>
      <c r="P1303" s="5"/>
      <c r="Q1303" s="5"/>
      <c r="R1303" s="5"/>
      <c r="S1303" s="5"/>
      <c r="U1303" s="5"/>
      <c r="W1303" s="5"/>
    </row>
    <row r="1304" spans="3:23" x14ac:dyDescent="0.2">
      <c r="C1304" s="5"/>
      <c r="I1304" s="5"/>
      <c r="L1304" s="5"/>
      <c r="M1304" s="5"/>
      <c r="N1304" s="5"/>
      <c r="P1304" s="5"/>
      <c r="Q1304" s="5"/>
      <c r="R1304" s="5"/>
      <c r="S1304" s="5"/>
      <c r="U1304" s="5"/>
      <c r="W1304" s="5"/>
    </row>
    <row r="1305" spans="3:23" x14ac:dyDescent="0.2">
      <c r="C1305" s="5"/>
      <c r="I1305" s="5"/>
      <c r="L1305" s="5"/>
      <c r="M1305" s="5"/>
      <c r="N1305" s="5"/>
      <c r="P1305" s="5"/>
      <c r="Q1305" s="5"/>
      <c r="R1305" s="5"/>
      <c r="S1305" s="5"/>
      <c r="U1305" s="5"/>
      <c r="W1305" s="5"/>
    </row>
    <row r="1306" spans="3:23" x14ac:dyDescent="0.2">
      <c r="C1306" s="5"/>
      <c r="I1306" s="5"/>
      <c r="L1306" s="5"/>
      <c r="M1306" s="5"/>
      <c r="N1306" s="5"/>
      <c r="P1306" s="5"/>
      <c r="Q1306" s="5"/>
      <c r="R1306" s="5"/>
      <c r="S1306" s="5"/>
      <c r="U1306" s="5"/>
      <c r="W1306" s="5"/>
    </row>
    <row r="1307" spans="3:23" x14ac:dyDescent="0.2">
      <c r="C1307" s="5"/>
      <c r="I1307" s="5"/>
      <c r="L1307" s="5"/>
      <c r="M1307" s="5"/>
      <c r="N1307" s="5"/>
      <c r="P1307" s="5"/>
      <c r="Q1307" s="5"/>
      <c r="R1307" s="5"/>
      <c r="S1307" s="5"/>
      <c r="U1307" s="5"/>
      <c r="W1307" s="5"/>
    </row>
    <row r="1308" spans="3:23" x14ac:dyDescent="0.2">
      <c r="C1308" s="5"/>
      <c r="I1308" s="5"/>
      <c r="L1308" s="5"/>
      <c r="M1308" s="5"/>
      <c r="N1308" s="5"/>
      <c r="P1308" s="5"/>
      <c r="Q1308" s="5"/>
      <c r="R1308" s="5"/>
      <c r="S1308" s="5"/>
      <c r="U1308" s="5"/>
      <c r="W1308" s="5"/>
    </row>
    <row r="1309" spans="3:23" x14ac:dyDescent="0.2">
      <c r="C1309" s="5"/>
      <c r="I1309" s="5"/>
      <c r="L1309" s="5"/>
      <c r="M1309" s="5"/>
      <c r="N1309" s="5"/>
      <c r="P1309" s="5"/>
      <c r="Q1309" s="5"/>
      <c r="R1309" s="5"/>
      <c r="S1309" s="5"/>
      <c r="U1309" s="5"/>
      <c r="W1309" s="5"/>
    </row>
    <row r="1310" spans="3:23" x14ac:dyDescent="0.2">
      <c r="C1310" s="5"/>
      <c r="I1310" s="5"/>
      <c r="L1310" s="5"/>
      <c r="M1310" s="5"/>
      <c r="N1310" s="5"/>
      <c r="P1310" s="5"/>
      <c r="Q1310" s="5"/>
      <c r="R1310" s="5"/>
      <c r="S1310" s="5"/>
      <c r="U1310" s="5"/>
      <c r="W1310" s="5"/>
    </row>
    <row r="1311" spans="3:23" x14ac:dyDescent="0.2">
      <c r="C1311" s="5"/>
      <c r="I1311" s="5"/>
      <c r="L1311" s="5"/>
      <c r="M1311" s="5"/>
      <c r="N1311" s="5"/>
      <c r="P1311" s="5"/>
      <c r="Q1311" s="5"/>
      <c r="R1311" s="5"/>
      <c r="S1311" s="5"/>
      <c r="U1311" s="5"/>
      <c r="W1311" s="5"/>
    </row>
    <row r="1312" spans="3:23" x14ac:dyDescent="0.2">
      <c r="C1312" s="5"/>
      <c r="I1312" s="5"/>
      <c r="L1312" s="5"/>
      <c r="M1312" s="5"/>
      <c r="N1312" s="5"/>
      <c r="P1312" s="5"/>
      <c r="Q1312" s="5"/>
      <c r="R1312" s="5"/>
      <c r="S1312" s="5"/>
      <c r="U1312" s="5"/>
      <c r="W1312" s="5"/>
    </row>
    <row r="1313" spans="3:23" x14ac:dyDescent="0.2">
      <c r="C1313" s="5"/>
      <c r="I1313" s="5"/>
      <c r="L1313" s="5"/>
      <c r="M1313" s="5"/>
      <c r="N1313" s="5"/>
      <c r="P1313" s="5"/>
      <c r="Q1313" s="5"/>
      <c r="R1313" s="5"/>
      <c r="S1313" s="5"/>
      <c r="U1313" s="5"/>
      <c r="W1313" s="5"/>
    </row>
    <row r="1314" spans="3:23" x14ac:dyDescent="0.2">
      <c r="C1314" s="5"/>
      <c r="I1314" s="5"/>
      <c r="L1314" s="5"/>
      <c r="M1314" s="5"/>
      <c r="N1314" s="5"/>
      <c r="P1314" s="5"/>
      <c r="Q1314" s="5"/>
      <c r="R1314" s="5"/>
      <c r="S1314" s="5"/>
      <c r="U1314" s="5"/>
      <c r="W1314" s="5"/>
    </row>
    <row r="1315" spans="3:23" x14ac:dyDescent="0.2">
      <c r="C1315" s="5"/>
      <c r="I1315" s="5"/>
      <c r="L1315" s="5"/>
      <c r="M1315" s="5"/>
      <c r="N1315" s="5"/>
      <c r="P1315" s="5"/>
      <c r="Q1315" s="5"/>
      <c r="R1315" s="5"/>
      <c r="S1315" s="5"/>
      <c r="U1315" s="5"/>
      <c r="W1315" s="5"/>
    </row>
    <row r="1316" spans="3:23" x14ac:dyDescent="0.2">
      <c r="C1316" s="5"/>
      <c r="I1316" s="5"/>
      <c r="L1316" s="5"/>
      <c r="M1316" s="5"/>
      <c r="N1316" s="5"/>
      <c r="P1316" s="5"/>
      <c r="Q1316" s="5"/>
      <c r="R1316" s="5"/>
      <c r="S1316" s="5"/>
      <c r="U1316" s="5"/>
      <c r="W1316" s="5"/>
    </row>
    <row r="1317" spans="3:23" x14ac:dyDescent="0.2">
      <c r="C1317" s="5"/>
      <c r="I1317" s="5"/>
      <c r="L1317" s="5"/>
      <c r="M1317" s="5"/>
      <c r="N1317" s="5"/>
      <c r="P1317" s="5"/>
      <c r="Q1317" s="5"/>
      <c r="R1317" s="5"/>
      <c r="S1317" s="5"/>
      <c r="U1317" s="5"/>
      <c r="W1317" s="5"/>
    </row>
    <row r="1318" spans="3:23" x14ac:dyDescent="0.2">
      <c r="C1318" s="5"/>
      <c r="I1318" s="5"/>
      <c r="L1318" s="5"/>
      <c r="M1318" s="5"/>
      <c r="N1318" s="5"/>
      <c r="P1318" s="5"/>
      <c r="Q1318" s="5"/>
      <c r="R1318" s="5"/>
      <c r="S1318" s="5"/>
      <c r="U1318" s="5"/>
      <c r="W1318" s="5"/>
    </row>
    <row r="1319" spans="3:23" x14ac:dyDescent="0.2">
      <c r="C1319" s="5"/>
      <c r="I1319" s="5"/>
      <c r="L1319" s="5"/>
      <c r="M1319" s="5"/>
      <c r="N1319" s="5"/>
      <c r="P1319" s="5"/>
      <c r="Q1319" s="5"/>
      <c r="R1319" s="5"/>
      <c r="S1319" s="5"/>
      <c r="U1319" s="5"/>
      <c r="W1319" s="5"/>
    </row>
    <row r="1320" spans="3:23" x14ac:dyDescent="0.2">
      <c r="C1320" s="5"/>
      <c r="I1320" s="5"/>
      <c r="L1320" s="5"/>
      <c r="M1320" s="5"/>
      <c r="N1320" s="5"/>
      <c r="P1320" s="5"/>
      <c r="Q1320" s="5"/>
      <c r="R1320" s="5"/>
      <c r="S1320" s="5"/>
      <c r="U1320" s="5"/>
      <c r="W1320" s="5"/>
    </row>
    <row r="1321" spans="3:23" x14ac:dyDescent="0.2">
      <c r="C1321" s="5"/>
      <c r="I1321" s="5"/>
      <c r="L1321" s="5"/>
      <c r="M1321" s="5"/>
      <c r="N1321" s="5"/>
      <c r="P1321" s="5"/>
      <c r="Q1321" s="5"/>
      <c r="R1321" s="5"/>
      <c r="S1321" s="5"/>
      <c r="U1321" s="5"/>
      <c r="W1321" s="5"/>
    </row>
    <row r="1322" spans="3:23" x14ac:dyDescent="0.2">
      <c r="C1322" s="5"/>
      <c r="I1322" s="5"/>
      <c r="L1322" s="5"/>
      <c r="M1322" s="5"/>
      <c r="N1322" s="5"/>
      <c r="P1322" s="5"/>
      <c r="Q1322" s="5"/>
      <c r="R1322" s="5"/>
      <c r="S1322" s="5"/>
      <c r="U1322" s="5"/>
      <c r="W1322" s="5"/>
    </row>
    <row r="1323" spans="3:23" x14ac:dyDescent="0.2">
      <c r="C1323" s="5"/>
      <c r="I1323" s="5"/>
      <c r="L1323" s="5"/>
      <c r="M1323" s="5"/>
      <c r="N1323" s="5"/>
      <c r="P1323" s="5"/>
      <c r="Q1323" s="5"/>
      <c r="R1323" s="5"/>
      <c r="S1323" s="5"/>
      <c r="U1323" s="5"/>
      <c r="W1323" s="5"/>
    </row>
    <row r="1324" spans="3:23" x14ac:dyDescent="0.2">
      <c r="C1324" s="5"/>
      <c r="I1324" s="5"/>
      <c r="L1324" s="5"/>
      <c r="M1324" s="5"/>
      <c r="N1324" s="5"/>
      <c r="P1324" s="5"/>
      <c r="Q1324" s="5"/>
      <c r="R1324" s="5"/>
      <c r="S1324" s="5"/>
      <c r="U1324" s="5"/>
      <c r="W1324" s="5"/>
    </row>
    <row r="1325" spans="3:23" x14ac:dyDescent="0.2">
      <c r="C1325" s="5"/>
      <c r="I1325" s="5"/>
      <c r="L1325" s="5"/>
      <c r="M1325" s="5"/>
      <c r="N1325" s="5"/>
      <c r="P1325" s="5"/>
      <c r="Q1325" s="5"/>
      <c r="R1325" s="5"/>
      <c r="S1325" s="5"/>
      <c r="U1325" s="5"/>
      <c r="W1325" s="5"/>
    </row>
    <row r="1326" spans="3:23" x14ac:dyDescent="0.2">
      <c r="C1326" s="5"/>
      <c r="I1326" s="5"/>
      <c r="L1326" s="5"/>
      <c r="M1326" s="5"/>
      <c r="N1326" s="5"/>
      <c r="P1326" s="5"/>
      <c r="Q1326" s="5"/>
      <c r="R1326" s="5"/>
      <c r="S1326" s="5"/>
      <c r="U1326" s="5"/>
      <c r="W1326" s="5"/>
    </row>
    <row r="1327" spans="3:23" x14ac:dyDescent="0.2">
      <c r="C1327" s="5"/>
      <c r="I1327" s="5"/>
      <c r="L1327" s="5"/>
      <c r="M1327" s="5"/>
      <c r="N1327" s="5"/>
      <c r="P1327" s="5"/>
      <c r="Q1327" s="5"/>
      <c r="R1327" s="5"/>
      <c r="S1327" s="5"/>
      <c r="U1327" s="5"/>
      <c r="W1327" s="5"/>
    </row>
    <row r="1328" spans="3:23" x14ac:dyDescent="0.2">
      <c r="C1328" s="5"/>
      <c r="I1328" s="5"/>
      <c r="L1328" s="5"/>
      <c r="M1328" s="5"/>
      <c r="N1328" s="5"/>
      <c r="P1328" s="5"/>
      <c r="Q1328" s="5"/>
      <c r="R1328" s="5"/>
      <c r="S1328" s="5"/>
      <c r="U1328" s="5"/>
      <c r="W1328" s="5"/>
    </row>
    <row r="1329" spans="3:23" x14ac:dyDescent="0.2">
      <c r="C1329" s="5"/>
      <c r="I1329" s="5"/>
      <c r="L1329" s="5"/>
      <c r="M1329" s="5"/>
      <c r="N1329" s="5"/>
      <c r="P1329" s="5"/>
      <c r="Q1329" s="5"/>
      <c r="R1329" s="5"/>
      <c r="S1329" s="5"/>
      <c r="U1329" s="5"/>
      <c r="W1329" s="5"/>
    </row>
    <row r="1330" spans="3:23" x14ac:dyDescent="0.2">
      <c r="C1330" s="5"/>
      <c r="I1330" s="5"/>
      <c r="L1330" s="5"/>
      <c r="M1330" s="5"/>
      <c r="N1330" s="5"/>
      <c r="P1330" s="5"/>
      <c r="Q1330" s="5"/>
      <c r="R1330" s="5"/>
      <c r="S1330" s="5"/>
      <c r="U1330" s="5"/>
      <c r="W1330" s="5"/>
    </row>
    <row r="1331" spans="3:23" x14ac:dyDescent="0.2">
      <c r="C1331" s="5"/>
      <c r="I1331" s="5"/>
      <c r="L1331" s="5"/>
      <c r="M1331" s="5"/>
      <c r="N1331" s="5"/>
      <c r="P1331" s="5"/>
      <c r="Q1331" s="5"/>
      <c r="R1331" s="5"/>
      <c r="S1331" s="5"/>
      <c r="U1331" s="5"/>
      <c r="W1331" s="5"/>
    </row>
    <row r="1332" spans="3:23" x14ac:dyDescent="0.2">
      <c r="C1332" s="5"/>
      <c r="I1332" s="5"/>
      <c r="L1332" s="5"/>
      <c r="M1332" s="5"/>
      <c r="N1332" s="5"/>
      <c r="P1332" s="5"/>
      <c r="Q1332" s="5"/>
      <c r="R1332" s="5"/>
      <c r="S1332" s="5"/>
      <c r="U1332" s="5"/>
      <c r="W1332" s="5"/>
    </row>
    <row r="1333" spans="3:23" x14ac:dyDescent="0.2">
      <c r="C1333" s="5"/>
      <c r="I1333" s="5"/>
      <c r="L1333" s="5"/>
      <c r="M1333" s="5"/>
      <c r="N1333" s="5"/>
      <c r="P1333" s="5"/>
      <c r="Q1333" s="5"/>
      <c r="R1333" s="5"/>
      <c r="S1333" s="5"/>
      <c r="U1333" s="5"/>
      <c r="W1333" s="5"/>
    </row>
    <row r="1334" spans="3:23" x14ac:dyDescent="0.2">
      <c r="C1334" s="5"/>
      <c r="I1334" s="5"/>
      <c r="L1334" s="5"/>
      <c r="M1334" s="5"/>
      <c r="N1334" s="5"/>
      <c r="P1334" s="5"/>
      <c r="Q1334" s="5"/>
      <c r="R1334" s="5"/>
      <c r="S1334" s="5"/>
      <c r="U1334" s="5"/>
      <c r="W1334" s="5"/>
    </row>
    <row r="1335" spans="3:23" x14ac:dyDescent="0.2">
      <c r="C1335" s="5"/>
      <c r="I1335" s="5"/>
      <c r="L1335" s="5"/>
      <c r="M1335" s="5"/>
      <c r="N1335" s="5"/>
      <c r="P1335" s="5"/>
      <c r="Q1335" s="5"/>
      <c r="R1335" s="5"/>
      <c r="S1335" s="5"/>
      <c r="U1335" s="5"/>
      <c r="W1335" s="5"/>
    </row>
    <row r="1336" spans="3:23" x14ac:dyDescent="0.2">
      <c r="C1336" s="5"/>
      <c r="I1336" s="5"/>
      <c r="L1336" s="5"/>
      <c r="M1336" s="5"/>
      <c r="N1336" s="5"/>
      <c r="P1336" s="5"/>
      <c r="Q1336" s="5"/>
      <c r="R1336" s="5"/>
      <c r="S1336" s="5"/>
      <c r="U1336" s="5"/>
      <c r="W1336" s="5"/>
    </row>
    <row r="1337" spans="3:23" x14ac:dyDescent="0.2">
      <c r="C1337" s="5"/>
      <c r="I1337" s="5"/>
      <c r="L1337" s="5"/>
      <c r="M1337" s="5"/>
      <c r="N1337" s="5"/>
      <c r="P1337" s="5"/>
      <c r="Q1337" s="5"/>
      <c r="R1337" s="5"/>
      <c r="S1337" s="5"/>
      <c r="U1337" s="5"/>
      <c r="W1337" s="5"/>
    </row>
    <row r="1338" spans="3:23" x14ac:dyDescent="0.2">
      <c r="C1338" s="5"/>
      <c r="I1338" s="5"/>
      <c r="L1338" s="5"/>
      <c r="M1338" s="5"/>
      <c r="N1338" s="5"/>
      <c r="P1338" s="5"/>
      <c r="Q1338" s="5"/>
      <c r="R1338" s="5"/>
      <c r="S1338" s="5"/>
      <c r="U1338" s="5"/>
      <c r="W1338" s="5"/>
    </row>
    <row r="1339" spans="3:23" x14ac:dyDescent="0.2">
      <c r="C1339" s="5"/>
      <c r="I1339" s="5"/>
      <c r="L1339" s="5"/>
      <c r="M1339" s="5"/>
      <c r="N1339" s="5"/>
      <c r="P1339" s="5"/>
      <c r="Q1339" s="5"/>
      <c r="R1339" s="5"/>
      <c r="S1339" s="5"/>
      <c r="U1339" s="5"/>
      <c r="W1339" s="5"/>
    </row>
    <row r="1340" spans="3:23" x14ac:dyDescent="0.2">
      <c r="C1340" s="5"/>
      <c r="I1340" s="5"/>
      <c r="L1340" s="5"/>
      <c r="M1340" s="5"/>
      <c r="N1340" s="5"/>
      <c r="P1340" s="5"/>
      <c r="Q1340" s="5"/>
      <c r="R1340" s="5"/>
      <c r="S1340" s="5"/>
      <c r="U1340" s="5"/>
      <c r="W1340" s="5"/>
    </row>
    <row r="1341" spans="3:23" x14ac:dyDescent="0.2">
      <c r="C1341" s="5"/>
      <c r="I1341" s="5"/>
      <c r="L1341" s="5"/>
      <c r="M1341" s="5"/>
      <c r="N1341" s="5"/>
      <c r="P1341" s="5"/>
      <c r="Q1341" s="5"/>
      <c r="R1341" s="5"/>
      <c r="S1341" s="5"/>
      <c r="U1341" s="5"/>
      <c r="W1341" s="5"/>
    </row>
    <row r="1342" spans="3:23" x14ac:dyDescent="0.2">
      <c r="C1342" s="5"/>
      <c r="I1342" s="5"/>
      <c r="L1342" s="5"/>
      <c r="M1342" s="5"/>
      <c r="N1342" s="5"/>
      <c r="P1342" s="5"/>
      <c r="Q1342" s="5"/>
      <c r="R1342" s="5"/>
      <c r="S1342" s="5"/>
      <c r="U1342" s="5"/>
      <c r="W1342" s="5"/>
    </row>
    <row r="1343" spans="3:23" x14ac:dyDescent="0.2">
      <c r="C1343" s="5"/>
      <c r="I1343" s="5"/>
      <c r="L1343" s="5"/>
      <c r="M1343" s="5"/>
      <c r="N1343" s="5"/>
      <c r="P1343" s="5"/>
      <c r="Q1343" s="5"/>
      <c r="R1343" s="5"/>
      <c r="S1343" s="5"/>
      <c r="U1343" s="5"/>
      <c r="W1343" s="5"/>
    </row>
    <row r="1344" spans="3:23" x14ac:dyDescent="0.2">
      <c r="C1344" s="5"/>
      <c r="I1344" s="5"/>
      <c r="L1344" s="5"/>
      <c r="M1344" s="5"/>
      <c r="N1344" s="5"/>
      <c r="P1344" s="5"/>
      <c r="Q1344" s="5"/>
      <c r="R1344" s="5"/>
      <c r="S1344" s="5"/>
      <c r="U1344" s="5"/>
      <c r="W1344" s="5"/>
    </row>
    <row r="1345" spans="3:23" x14ac:dyDescent="0.2">
      <c r="C1345" s="5"/>
      <c r="I1345" s="5"/>
      <c r="L1345" s="5"/>
      <c r="M1345" s="5"/>
      <c r="N1345" s="5"/>
      <c r="P1345" s="5"/>
      <c r="Q1345" s="5"/>
      <c r="R1345" s="5"/>
      <c r="S1345" s="5"/>
      <c r="U1345" s="5"/>
      <c r="W1345" s="5"/>
    </row>
    <row r="1346" spans="3:23" ht="14.25" customHeight="1" x14ac:dyDescent="0.2">
      <c r="C1346" s="5"/>
      <c r="I1346" s="5"/>
      <c r="L1346" s="5"/>
      <c r="M1346" s="5"/>
      <c r="N1346" s="5"/>
      <c r="P1346" s="5"/>
      <c r="Q1346" s="5"/>
      <c r="R1346" s="5"/>
      <c r="S1346" s="5"/>
      <c r="U1346" s="5"/>
      <c r="W1346" s="5"/>
    </row>
    <row r="1347" spans="3:23" ht="14.25" customHeight="1" x14ac:dyDescent="0.2">
      <c r="C1347" s="5"/>
      <c r="I1347" s="5"/>
      <c r="L1347" s="5"/>
      <c r="M1347" s="5"/>
      <c r="N1347" s="5"/>
      <c r="P1347" s="5"/>
      <c r="Q1347" s="5"/>
      <c r="R1347" s="5"/>
      <c r="S1347" s="5"/>
      <c r="U1347" s="5"/>
      <c r="W1347" s="5"/>
    </row>
    <row r="1348" spans="3:23" x14ac:dyDescent="0.2">
      <c r="C1348" s="5"/>
      <c r="I1348" s="5"/>
      <c r="L1348" s="5"/>
      <c r="M1348" s="5"/>
      <c r="N1348" s="5"/>
      <c r="P1348" s="5"/>
      <c r="Q1348" s="5"/>
      <c r="R1348" s="5"/>
      <c r="S1348" s="5"/>
      <c r="U1348" s="5"/>
      <c r="W1348" s="5"/>
    </row>
    <row r="1349" spans="3:23" ht="28.5" customHeight="1" x14ac:dyDescent="0.2">
      <c r="C1349" s="5"/>
      <c r="I1349" s="5"/>
      <c r="L1349" s="5"/>
      <c r="M1349" s="5"/>
      <c r="N1349" s="5"/>
      <c r="P1349" s="5"/>
      <c r="Q1349" s="5"/>
      <c r="R1349" s="5"/>
      <c r="S1349" s="5"/>
      <c r="U1349" s="5"/>
      <c r="W1349" s="5"/>
    </row>
    <row r="1350" spans="3:23" ht="14.25" customHeight="1" x14ac:dyDescent="0.2">
      <c r="C1350" s="5"/>
      <c r="I1350" s="5"/>
      <c r="L1350" s="5"/>
      <c r="M1350" s="5"/>
      <c r="N1350" s="5"/>
      <c r="P1350" s="5"/>
      <c r="Q1350" s="5"/>
      <c r="R1350" s="5"/>
      <c r="S1350" s="5"/>
      <c r="U1350" s="5"/>
      <c r="W1350" s="5"/>
    </row>
    <row r="1351" spans="3:23" ht="14.25" customHeight="1" x14ac:dyDescent="0.2">
      <c r="C1351" s="5"/>
      <c r="I1351" s="5"/>
      <c r="L1351" s="5"/>
      <c r="M1351" s="5"/>
      <c r="N1351" s="5"/>
      <c r="P1351" s="5"/>
      <c r="Q1351" s="5"/>
      <c r="R1351" s="5"/>
      <c r="S1351" s="5"/>
      <c r="U1351" s="5"/>
      <c r="W1351" s="5"/>
    </row>
    <row r="1352" spans="3:23" ht="14.25" customHeight="1" x14ac:dyDescent="0.2">
      <c r="C1352" s="5"/>
      <c r="I1352" s="5"/>
      <c r="L1352" s="5"/>
      <c r="M1352" s="5"/>
      <c r="N1352" s="5"/>
      <c r="P1352" s="5"/>
      <c r="Q1352" s="5"/>
      <c r="R1352" s="5"/>
      <c r="S1352" s="5"/>
      <c r="U1352" s="5"/>
      <c r="W1352" s="5"/>
    </row>
    <row r="1353" spans="3:23" ht="14.25" customHeight="1" x14ac:dyDescent="0.2">
      <c r="C1353" s="5"/>
      <c r="I1353" s="5"/>
      <c r="L1353" s="5"/>
      <c r="M1353" s="5"/>
      <c r="N1353" s="5"/>
      <c r="P1353" s="5"/>
      <c r="Q1353" s="5"/>
      <c r="R1353" s="5"/>
      <c r="S1353" s="5"/>
      <c r="U1353" s="5"/>
      <c r="W1353" s="5"/>
    </row>
    <row r="1354" spans="3:23" ht="14.25" customHeight="1" x14ac:dyDescent="0.2">
      <c r="C1354" s="5"/>
      <c r="I1354" s="5"/>
      <c r="L1354" s="5"/>
      <c r="M1354" s="5"/>
      <c r="N1354" s="5"/>
      <c r="P1354" s="5"/>
      <c r="Q1354" s="5"/>
      <c r="R1354" s="5"/>
      <c r="S1354" s="5"/>
      <c r="U1354" s="5"/>
      <c r="W1354" s="5"/>
    </row>
    <row r="1355" spans="3:23" ht="14.25" customHeight="1" x14ac:dyDescent="0.2">
      <c r="C1355" s="5"/>
      <c r="I1355" s="5"/>
      <c r="L1355" s="5"/>
      <c r="M1355" s="5"/>
      <c r="N1355" s="5"/>
      <c r="P1355" s="5"/>
      <c r="Q1355" s="5"/>
      <c r="R1355" s="5"/>
      <c r="S1355" s="5"/>
      <c r="U1355" s="5"/>
      <c r="W1355" s="5"/>
    </row>
    <row r="1356" spans="3:23" ht="14.25" customHeight="1" x14ac:dyDescent="0.2">
      <c r="C1356" s="5"/>
      <c r="I1356" s="5"/>
      <c r="L1356" s="5"/>
      <c r="M1356" s="5"/>
      <c r="N1356" s="5"/>
      <c r="P1356" s="5"/>
      <c r="Q1356" s="5"/>
      <c r="R1356" s="5"/>
      <c r="S1356" s="5"/>
      <c r="U1356" s="5"/>
      <c r="W1356" s="5"/>
    </row>
    <row r="1357" spans="3:23" x14ac:dyDescent="0.2">
      <c r="C1357" s="5"/>
      <c r="I1357" s="5"/>
      <c r="L1357" s="5"/>
      <c r="M1357" s="5"/>
      <c r="N1357" s="5"/>
      <c r="P1357" s="5"/>
      <c r="Q1357" s="5"/>
      <c r="R1357" s="5"/>
      <c r="S1357" s="5"/>
      <c r="U1357" s="5"/>
      <c r="W1357" s="5"/>
    </row>
    <row r="1358" spans="3:23" x14ac:dyDescent="0.2">
      <c r="C1358" s="5"/>
      <c r="I1358" s="5"/>
      <c r="L1358" s="5"/>
      <c r="M1358" s="5"/>
      <c r="N1358" s="5"/>
      <c r="P1358" s="5"/>
      <c r="Q1358" s="5"/>
      <c r="R1358" s="5"/>
      <c r="S1358" s="5"/>
      <c r="U1358" s="5"/>
      <c r="W1358" s="5"/>
    </row>
    <row r="1359" spans="3:23" x14ac:dyDescent="0.2">
      <c r="C1359" s="5"/>
      <c r="I1359" s="5"/>
      <c r="L1359" s="5"/>
      <c r="M1359" s="5"/>
      <c r="N1359" s="5"/>
      <c r="P1359" s="5"/>
      <c r="Q1359" s="5"/>
      <c r="R1359" s="5"/>
      <c r="S1359" s="5"/>
      <c r="U1359" s="5"/>
      <c r="W1359" s="5"/>
    </row>
    <row r="1360" spans="3:23" ht="28.5" customHeight="1" x14ac:dyDescent="0.2">
      <c r="C1360" s="5"/>
      <c r="I1360" s="5"/>
      <c r="L1360" s="5"/>
      <c r="M1360" s="5"/>
      <c r="N1360" s="5"/>
      <c r="P1360" s="5"/>
      <c r="Q1360" s="5"/>
      <c r="R1360" s="5"/>
      <c r="S1360" s="5"/>
      <c r="U1360" s="5"/>
      <c r="W1360" s="5"/>
    </row>
    <row r="1361" spans="3:23" ht="14.25" customHeight="1" x14ac:dyDescent="0.2">
      <c r="C1361" s="5"/>
      <c r="I1361" s="5"/>
      <c r="L1361" s="5"/>
      <c r="M1361" s="5"/>
      <c r="N1361" s="5"/>
      <c r="P1361" s="5"/>
      <c r="Q1361" s="5"/>
      <c r="R1361" s="5"/>
      <c r="S1361" s="5"/>
      <c r="U1361" s="5"/>
      <c r="W1361" s="5"/>
    </row>
    <row r="1362" spans="3:23" ht="14.25" customHeight="1" x14ac:dyDescent="0.2">
      <c r="C1362" s="5"/>
      <c r="I1362" s="5"/>
      <c r="L1362" s="5"/>
      <c r="M1362" s="5"/>
      <c r="N1362" s="5"/>
      <c r="P1362" s="5"/>
      <c r="Q1362" s="5"/>
      <c r="R1362" s="5"/>
      <c r="S1362" s="5"/>
      <c r="U1362" s="5"/>
      <c r="W1362" s="5"/>
    </row>
    <row r="1363" spans="3:23" ht="28.5" customHeight="1" x14ac:dyDescent="0.2">
      <c r="C1363" s="5"/>
      <c r="I1363" s="5"/>
      <c r="L1363" s="5"/>
      <c r="M1363" s="5"/>
      <c r="N1363" s="5"/>
      <c r="P1363" s="5"/>
      <c r="Q1363" s="5"/>
      <c r="R1363" s="5"/>
      <c r="S1363" s="5"/>
      <c r="U1363" s="5"/>
      <c r="W1363" s="5"/>
    </row>
    <row r="1364" spans="3:23" ht="14.25" customHeight="1" x14ac:dyDescent="0.2">
      <c r="C1364" s="5"/>
      <c r="I1364" s="5"/>
      <c r="L1364" s="5"/>
      <c r="M1364" s="5"/>
      <c r="N1364" s="5"/>
      <c r="P1364" s="5"/>
      <c r="Q1364" s="5"/>
      <c r="R1364" s="5"/>
      <c r="S1364" s="5"/>
      <c r="U1364" s="5"/>
      <c r="W1364" s="5"/>
    </row>
    <row r="1365" spans="3:23" ht="14.25" customHeight="1" x14ac:dyDescent="0.2">
      <c r="C1365" s="5"/>
      <c r="I1365" s="5"/>
      <c r="L1365" s="5"/>
      <c r="M1365" s="5"/>
      <c r="N1365" s="5"/>
      <c r="P1365" s="5"/>
      <c r="Q1365" s="5"/>
      <c r="R1365" s="5"/>
      <c r="S1365" s="5"/>
      <c r="U1365" s="5"/>
      <c r="W1365" s="5"/>
    </row>
    <row r="1366" spans="3:23" ht="14.25" customHeight="1" x14ac:dyDescent="0.2">
      <c r="C1366" s="5"/>
      <c r="I1366" s="5"/>
      <c r="L1366" s="5"/>
      <c r="M1366" s="5"/>
      <c r="N1366" s="5"/>
      <c r="P1366" s="5"/>
      <c r="Q1366" s="5"/>
      <c r="R1366" s="5"/>
      <c r="S1366" s="5"/>
      <c r="U1366" s="5"/>
      <c r="W1366" s="5"/>
    </row>
    <row r="1367" spans="3:23" ht="14.25" customHeight="1" x14ac:dyDescent="0.2">
      <c r="C1367" s="5"/>
      <c r="I1367" s="5"/>
      <c r="L1367" s="5"/>
      <c r="M1367" s="5"/>
      <c r="N1367" s="5"/>
      <c r="P1367" s="5"/>
      <c r="Q1367" s="5"/>
      <c r="R1367" s="5"/>
      <c r="S1367" s="5"/>
      <c r="U1367" s="5"/>
      <c r="W1367" s="5"/>
    </row>
    <row r="1368" spans="3:23" ht="14.25" customHeight="1" x14ac:dyDescent="0.2">
      <c r="C1368" s="5"/>
      <c r="I1368" s="5"/>
      <c r="L1368" s="5"/>
      <c r="M1368" s="5"/>
      <c r="N1368" s="5"/>
      <c r="P1368" s="5"/>
      <c r="Q1368" s="5"/>
      <c r="R1368" s="5"/>
      <c r="S1368" s="5"/>
      <c r="U1368" s="5"/>
      <c r="W1368" s="5"/>
    </row>
    <row r="1369" spans="3:23" ht="14.25" customHeight="1" x14ac:dyDescent="0.2">
      <c r="C1369" s="5"/>
      <c r="I1369" s="5"/>
      <c r="L1369" s="5"/>
      <c r="M1369" s="5"/>
      <c r="N1369" s="5"/>
      <c r="P1369" s="5"/>
      <c r="Q1369" s="5"/>
      <c r="R1369" s="5"/>
      <c r="S1369" s="5"/>
      <c r="U1369" s="5"/>
      <c r="W1369" s="5"/>
    </row>
    <row r="1370" spans="3:23" ht="42.75" customHeight="1" x14ac:dyDescent="0.2">
      <c r="C1370" s="5"/>
      <c r="I1370" s="5"/>
      <c r="L1370" s="5"/>
      <c r="M1370" s="5"/>
      <c r="N1370" s="5"/>
      <c r="P1370" s="5"/>
      <c r="Q1370" s="5"/>
      <c r="R1370" s="5"/>
      <c r="S1370" s="5"/>
      <c r="U1370" s="5"/>
      <c r="W1370" s="5"/>
    </row>
    <row r="1371" spans="3:23" ht="14.25" customHeight="1" x14ac:dyDescent="0.2">
      <c r="C1371" s="5"/>
      <c r="I1371" s="5"/>
      <c r="L1371" s="5"/>
      <c r="M1371" s="5"/>
      <c r="N1371" s="5"/>
      <c r="P1371" s="5"/>
      <c r="Q1371" s="5"/>
      <c r="R1371" s="5"/>
      <c r="S1371" s="5"/>
      <c r="U1371" s="5"/>
      <c r="W1371" s="5"/>
    </row>
    <row r="1372" spans="3:23" ht="14.25" customHeight="1" x14ac:dyDescent="0.2">
      <c r="C1372" s="5"/>
      <c r="I1372" s="5"/>
      <c r="L1372" s="5"/>
      <c r="M1372" s="5"/>
      <c r="N1372" s="5"/>
      <c r="P1372" s="5"/>
      <c r="Q1372" s="5"/>
      <c r="R1372" s="5"/>
      <c r="S1372" s="5"/>
      <c r="U1372" s="5"/>
      <c r="W1372" s="5"/>
    </row>
    <row r="1373" spans="3:23" ht="14.25" customHeight="1" x14ac:dyDescent="0.2">
      <c r="C1373" s="5"/>
      <c r="I1373" s="5"/>
      <c r="L1373" s="5"/>
      <c r="M1373" s="5"/>
      <c r="N1373" s="5"/>
      <c r="P1373" s="5"/>
      <c r="Q1373" s="5"/>
      <c r="R1373" s="5"/>
      <c r="S1373" s="5"/>
      <c r="U1373" s="5"/>
      <c r="W1373" s="5"/>
    </row>
    <row r="1374" spans="3:23" ht="14.25" customHeight="1" x14ac:dyDescent="0.2">
      <c r="C1374" s="5"/>
      <c r="I1374" s="5"/>
      <c r="L1374" s="5"/>
      <c r="M1374" s="5"/>
      <c r="N1374" s="5"/>
      <c r="P1374" s="5"/>
      <c r="Q1374" s="5"/>
      <c r="R1374" s="5"/>
      <c r="S1374" s="5"/>
      <c r="U1374" s="5"/>
      <c r="W1374" s="5"/>
    </row>
    <row r="1375" spans="3:23" x14ac:dyDescent="0.2">
      <c r="C1375" s="5"/>
      <c r="I1375" s="5"/>
      <c r="L1375" s="5"/>
      <c r="M1375" s="5"/>
      <c r="N1375" s="5"/>
      <c r="P1375" s="5"/>
      <c r="Q1375" s="5"/>
      <c r="R1375" s="5"/>
      <c r="S1375" s="5"/>
      <c r="U1375" s="5"/>
      <c r="W1375" s="5"/>
    </row>
    <row r="1376" spans="3:23" ht="14.25" customHeight="1" x14ac:dyDescent="0.2">
      <c r="C1376" s="5"/>
      <c r="I1376" s="5"/>
      <c r="L1376" s="5"/>
      <c r="M1376" s="5"/>
      <c r="N1376" s="5"/>
      <c r="P1376" s="5"/>
      <c r="Q1376" s="5"/>
      <c r="R1376" s="5"/>
      <c r="S1376" s="5"/>
      <c r="U1376" s="5"/>
      <c r="W1376" s="5"/>
    </row>
    <row r="1377" spans="3:23" ht="14.25" customHeight="1" x14ac:dyDescent="0.2">
      <c r="C1377" s="5"/>
      <c r="I1377" s="5"/>
      <c r="L1377" s="5"/>
      <c r="M1377" s="5"/>
      <c r="N1377" s="5"/>
      <c r="P1377" s="5"/>
      <c r="Q1377" s="5"/>
      <c r="R1377" s="5"/>
      <c r="S1377" s="5"/>
      <c r="U1377" s="5"/>
      <c r="W1377" s="5"/>
    </row>
    <row r="1378" spans="3:23" ht="28.5" customHeight="1" x14ac:dyDescent="0.2">
      <c r="C1378" s="5"/>
      <c r="I1378" s="5"/>
      <c r="L1378" s="5"/>
      <c r="M1378" s="5"/>
      <c r="N1378" s="5"/>
      <c r="P1378" s="5"/>
      <c r="Q1378" s="5"/>
      <c r="R1378" s="5"/>
      <c r="S1378" s="5"/>
      <c r="U1378" s="5"/>
      <c r="W1378" s="5"/>
    </row>
    <row r="1379" spans="3:23" ht="14.25" customHeight="1" x14ac:dyDescent="0.2">
      <c r="C1379" s="5"/>
      <c r="I1379" s="5"/>
      <c r="L1379" s="5"/>
      <c r="M1379" s="5"/>
      <c r="N1379" s="5"/>
      <c r="P1379" s="5"/>
      <c r="Q1379" s="5"/>
      <c r="R1379" s="5"/>
      <c r="S1379" s="5"/>
      <c r="U1379" s="5"/>
      <c r="W1379" s="5"/>
    </row>
    <row r="1380" spans="3:23" ht="14.25" customHeight="1" x14ac:dyDescent="0.2">
      <c r="C1380" s="5"/>
      <c r="I1380" s="5"/>
      <c r="L1380" s="5"/>
      <c r="M1380" s="5"/>
      <c r="N1380" s="5"/>
      <c r="P1380" s="5"/>
      <c r="Q1380" s="5"/>
      <c r="R1380" s="5"/>
      <c r="S1380" s="5"/>
      <c r="U1380" s="5"/>
      <c r="W1380" s="5"/>
    </row>
    <row r="1381" spans="3:23" ht="14.25" customHeight="1" x14ac:dyDescent="0.2">
      <c r="C1381" s="5"/>
      <c r="I1381" s="5"/>
      <c r="L1381" s="5"/>
      <c r="M1381" s="5"/>
      <c r="N1381" s="5"/>
      <c r="P1381" s="5"/>
      <c r="Q1381" s="5"/>
      <c r="R1381" s="5"/>
      <c r="S1381" s="5"/>
      <c r="U1381" s="5"/>
      <c r="W1381" s="5"/>
    </row>
    <row r="1382" spans="3:23" x14ac:dyDescent="0.2">
      <c r="C1382" s="5"/>
      <c r="I1382" s="5"/>
      <c r="L1382" s="5"/>
      <c r="M1382" s="5"/>
      <c r="N1382" s="5"/>
      <c r="P1382" s="5"/>
      <c r="Q1382" s="5"/>
      <c r="R1382" s="5"/>
      <c r="S1382" s="5"/>
      <c r="U1382" s="5"/>
      <c r="W1382" s="5"/>
    </row>
    <row r="1383" spans="3:23" x14ac:dyDescent="0.2">
      <c r="C1383" s="5"/>
      <c r="I1383" s="5"/>
      <c r="L1383" s="5"/>
      <c r="M1383" s="5"/>
      <c r="N1383" s="5"/>
      <c r="P1383" s="5"/>
      <c r="Q1383" s="5"/>
      <c r="R1383" s="5"/>
      <c r="S1383" s="5"/>
      <c r="U1383" s="5"/>
      <c r="W1383" s="5"/>
    </row>
    <row r="1384" spans="3:23" ht="14.25" customHeight="1" x14ac:dyDescent="0.2">
      <c r="C1384" s="5"/>
      <c r="I1384" s="5"/>
      <c r="L1384" s="5"/>
      <c r="M1384" s="5"/>
      <c r="N1384" s="5"/>
      <c r="P1384" s="5"/>
      <c r="Q1384" s="5"/>
      <c r="R1384" s="5"/>
      <c r="S1384" s="5"/>
      <c r="U1384" s="5"/>
      <c r="W1384" s="5"/>
    </row>
    <row r="1385" spans="3:23" ht="14.25" customHeight="1" x14ac:dyDescent="0.2">
      <c r="C1385" s="5"/>
      <c r="I1385" s="5"/>
      <c r="L1385" s="5"/>
      <c r="M1385" s="5"/>
      <c r="N1385" s="5"/>
      <c r="P1385" s="5"/>
      <c r="Q1385" s="5"/>
      <c r="R1385" s="5"/>
      <c r="S1385" s="5"/>
      <c r="U1385" s="5"/>
      <c r="W1385" s="5"/>
    </row>
    <row r="1386" spans="3:23" ht="14.25" customHeight="1" x14ac:dyDescent="0.2">
      <c r="C1386" s="5"/>
      <c r="I1386" s="5"/>
      <c r="L1386" s="5"/>
      <c r="M1386" s="5"/>
      <c r="N1386" s="5"/>
      <c r="P1386" s="5"/>
      <c r="Q1386" s="5"/>
      <c r="R1386" s="5"/>
      <c r="S1386" s="5"/>
      <c r="U1386" s="5"/>
      <c r="W1386" s="5"/>
    </row>
    <row r="1387" spans="3:23" ht="14.25" customHeight="1" x14ac:dyDescent="0.2">
      <c r="C1387" s="5"/>
      <c r="I1387" s="5"/>
      <c r="L1387" s="5"/>
      <c r="M1387" s="5"/>
      <c r="N1387" s="5"/>
      <c r="P1387" s="5"/>
      <c r="Q1387" s="5"/>
      <c r="R1387" s="5"/>
      <c r="S1387" s="5"/>
      <c r="U1387" s="5"/>
      <c r="W1387" s="5"/>
    </row>
    <row r="1388" spans="3:23" ht="28.5" customHeight="1" x14ac:dyDescent="0.2">
      <c r="C1388" s="5"/>
      <c r="I1388" s="5"/>
      <c r="L1388" s="5"/>
      <c r="M1388" s="5"/>
      <c r="N1388" s="5"/>
      <c r="P1388" s="5"/>
      <c r="Q1388" s="5"/>
      <c r="R1388" s="5"/>
      <c r="S1388" s="5"/>
      <c r="U1388" s="5"/>
      <c r="W1388" s="5"/>
    </row>
    <row r="1389" spans="3:23" x14ac:dyDescent="0.2">
      <c r="C1389" s="5"/>
      <c r="I1389" s="5"/>
      <c r="L1389" s="5"/>
      <c r="M1389" s="5"/>
      <c r="N1389" s="5"/>
      <c r="P1389" s="5"/>
      <c r="Q1389" s="5"/>
      <c r="R1389" s="5"/>
      <c r="S1389" s="5"/>
      <c r="U1389" s="5"/>
      <c r="W1389" s="5"/>
    </row>
    <row r="1390" spans="3:23" ht="42.75" customHeight="1" x14ac:dyDescent="0.2">
      <c r="C1390" s="5"/>
      <c r="I1390" s="5"/>
      <c r="L1390" s="5"/>
      <c r="M1390" s="5"/>
      <c r="N1390" s="5"/>
      <c r="P1390" s="5"/>
      <c r="Q1390" s="5"/>
      <c r="R1390" s="5"/>
      <c r="S1390" s="5"/>
      <c r="U1390" s="5"/>
      <c r="W1390" s="5"/>
    </row>
    <row r="1391" spans="3:23" ht="28.5" customHeight="1" x14ac:dyDescent="0.2">
      <c r="C1391" s="5"/>
      <c r="I1391" s="5"/>
      <c r="L1391" s="5"/>
      <c r="M1391" s="5"/>
      <c r="N1391" s="5"/>
      <c r="P1391" s="5"/>
      <c r="Q1391" s="5"/>
      <c r="R1391" s="5"/>
      <c r="S1391" s="5"/>
      <c r="U1391" s="5"/>
      <c r="W1391" s="5"/>
    </row>
    <row r="1392" spans="3:23" ht="14.25" customHeight="1" x14ac:dyDescent="0.2">
      <c r="C1392" s="5"/>
      <c r="I1392" s="5"/>
      <c r="L1392" s="5"/>
      <c r="M1392" s="5"/>
      <c r="N1392" s="5"/>
      <c r="P1392" s="5"/>
      <c r="Q1392" s="5"/>
      <c r="R1392" s="5"/>
      <c r="S1392" s="5"/>
      <c r="U1392" s="5"/>
      <c r="W1392" s="5"/>
    </row>
    <row r="1393" spans="3:23" ht="14.25" customHeight="1" x14ac:dyDescent="0.2">
      <c r="C1393" s="5"/>
      <c r="I1393" s="5"/>
      <c r="L1393" s="5"/>
      <c r="M1393" s="5"/>
      <c r="N1393" s="5"/>
      <c r="P1393" s="5"/>
      <c r="Q1393" s="5"/>
      <c r="R1393" s="5"/>
      <c r="S1393" s="5"/>
      <c r="U1393" s="5"/>
      <c r="W1393" s="5"/>
    </row>
    <row r="1394" spans="3:23" ht="14.25" customHeight="1" x14ac:dyDescent="0.2">
      <c r="C1394" s="5"/>
      <c r="I1394" s="5"/>
      <c r="L1394" s="5"/>
      <c r="M1394" s="5"/>
      <c r="N1394" s="5"/>
      <c r="P1394" s="5"/>
      <c r="Q1394" s="5"/>
      <c r="R1394" s="5"/>
      <c r="S1394" s="5"/>
      <c r="U1394" s="5"/>
      <c r="W1394" s="5"/>
    </row>
    <row r="1395" spans="3:23" ht="14.25" customHeight="1" x14ac:dyDescent="0.2">
      <c r="C1395" s="5"/>
      <c r="I1395" s="5"/>
      <c r="L1395" s="5"/>
      <c r="M1395" s="5"/>
      <c r="N1395" s="5"/>
      <c r="P1395" s="5"/>
      <c r="Q1395" s="5"/>
      <c r="R1395" s="5"/>
      <c r="S1395" s="5"/>
      <c r="U1395" s="5"/>
      <c r="W1395" s="5"/>
    </row>
    <row r="1396" spans="3:23" x14ac:dyDescent="0.2">
      <c r="C1396" s="5"/>
      <c r="I1396" s="5"/>
      <c r="L1396" s="5"/>
      <c r="M1396" s="5"/>
      <c r="N1396" s="5"/>
      <c r="P1396" s="5"/>
      <c r="Q1396" s="5"/>
      <c r="R1396" s="5"/>
      <c r="S1396" s="5"/>
      <c r="U1396" s="5"/>
      <c r="W1396" s="5"/>
    </row>
    <row r="1397" spans="3:23" ht="14.25" customHeight="1" x14ac:dyDescent="0.2">
      <c r="C1397" s="5"/>
      <c r="I1397" s="5"/>
      <c r="L1397" s="5"/>
      <c r="M1397" s="5"/>
      <c r="N1397" s="5"/>
      <c r="P1397" s="5"/>
      <c r="Q1397" s="5"/>
      <c r="R1397" s="5"/>
      <c r="S1397" s="5"/>
      <c r="U1397" s="5"/>
      <c r="W1397" s="5"/>
    </row>
    <row r="1398" spans="3:23" ht="14.25" customHeight="1" x14ac:dyDescent="0.2">
      <c r="C1398" s="5"/>
      <c r="I1398" s="5"/>
      <c r="L1398" s="5"/>
      <c r="M1398" s="5"/>
      <c r="N1398" s="5"/>
      <c r="P1398" s="5"/>
      <c r="Q1398" s="5"/>
      <c r="R1398" s="5"/>
      <c r="S1398" s="5"/>
      <c r="U1398" s="5"/>
      <c r="W1398" s="5"/>
    </row>
    <row r="1399" spans="3:23" x14ac:dyDescent="0.2">
      <c r="C1399" s="5"/>
      <c r="I1399" s="5"/>
      <c r="L1399" s="5"/>
      <c r="M1399" s="5"/>
      <c r="N1399" s="5"/>
      <c r="P1399" s="5"/>
      <c r="Q1399" s="5"/>
      <c r="R1399" s="5"/>
      <c r="S1399" s="5"/>
      <c r="U1399" s="5"/>
      <c r="W1399" s="5"/>
    </row>
    <row r="1400" spans="3:23" ht="14.25" customHeight="1" x14ac:dyDescent="0.2">
      <c r="C1400" s="5"/>
      <c r="I1400" s="5"/>
      <c r="L1400" s="5"/>
      <c r="M1400" s="5"/>
      <c r="N1400" s="5"/>
      <c r="P1400" s="5"/>
      <c r="Q1400" s="5"/>
      <c r="R1400" s="5"/>
      <c r="S1400" s="5"/>
      <c r="U1400" s="5"/>
      <c r="W1400" s="5"/>
    </row>
    <row r="1401" spans="3:23" ht="14.25" customHeight="1" x14ac:dyDescent="0.2">
      <c r="C1401" s="5"/>
      <c r="I1401" s="5"/>
      <c r="L1401" s="5"/>
      <c r="M1401" s="5"/>
      <c r="N1401" s="5"/>
      <c r="P1401" s="5"/>
      <c r="Q1401" s="5"/>
      <c r="R1401" s="5"/>
      <c r="S1401" s="5"/>
      <c r="U1401" s="5"/>
      <c r="W1401" s="5"/>
    </row>
    <row r="1402" spans="3:23" x14ac:dyDescent="0.2">
      <c r="C1402" s="5"/>
      <c r="I1402" s="5"/>
      <c r="L1402" s="5"/>
      <c r="M1402" s="5"/>
      <c r="N1402" s="5"/>
      <c r="P1402" s="5"/>
      <c r="Q1402" s="5"/>
      <c r="R1402" s="5"/>
      <c r="S1402" s="5"/>
      <c r="U1402" s="5"/>
      <c r="W1402" s="5"/>
    </row>
    <row r="1403" spans="3:23" ht="14.25" customHeight="1" x14ac:dyDescent="0.2">
      <c r="C1403" s="5"/>
      <c r="I1403" s="5"/>
      <c r="L1403" s="5"/>
      <c r="M1403" s="5"/>
      <c r="N1403" s="5"/>
      <c r="P1403" s="5"/>
      <c r="Q1403" s="5"/>
      <c r="R1403" s="5"/>
      <c r="S1403" s="5"/>
      <c r="U1403" s="5"/>
      <c r="W1403" s="5"/>
    </row>
    <row r="1404" spans="3:23" ht="14.25" customHeight="1" x14ac:dyDescent="0.2">
      <c r="C1404" s="5"/>
      <c r="I1404" s="5"/>
      <c r="L1404" s="5"/>
      <c r="M1404" s="5"/>
      <c r="N1404" s="5"/>
      <c r="P1404" s="5"/>
      <c r="Q1404" s="5"/>
      <c r="R1404" s="5"/>
      <c r="S1404" s="5"/>
      <c r="U1404" s="5"/>
      <c r="W1404" s="5"/>
    </row>
    <row r="1405" spans="3:23" x14ac:dyDescent="0.2">
      <c r="C1405" s="5"/>
      <c r="I1405" s="5"/>
      <c r="L1405" s="5"/>
      <c r="M1405" s="5"/>
      <c r="N1405" s="5"/>
      <c r="P1405" s="5"/>
      <c r="Q1405" s="5"/>
      <c r="R1405" s="5"/>
      <c r="S1405" s="5"/>
      <c r="U1405" s="5"/>
      <c r="W1405" s="5"/>
    </row>
    <row r="1406" spans="3:23" ht="14.25" customHeight="1" x14ac:dyDescent="0.2">
      <c r="C1406" s="5"/>
      <c r="I1406" s="5"/>
      <c r="L1406" s="5"/>
      <c r="M1406" s="5"/>
      <c r="N1406" s="5"/>
      <c r="P1406" s="5"/>
      <c r="Q1406" s="5"/>
      <c r="R1406" s="5"/>
      <c r="S1406" s="5"/>
      <c r="U1406" s="5"/>
      <c r="W1406" s="5"/>
    </row>
    <row r="1407" spans="3:23" ht="14.25" customHeight="1" x14ac:dyDescent="0.2">
      <c r="C1407" s="5"/>
      <c r="I1407" s="5"/>
      <c r="L1407" s="5"/>
      <c r="M1407" s="5"/>
      <c r="N1407" s="5"/>
      <c r="P1407" s="5"/>
      <c r="Q1407" s="5"/>
      <c r="R1407" s="5"/>
      <c r="S1407" s="5"/>
      <c r="U1407" s="5"/>
      <c r="W1407" s="5"/>
    </row>
    <row r="1408" spans="3:23" x14ac:dyDescent="0.2">
      <c r="C1408" s="5"/>
      <c r="I1408" s="5"/>
      <c r="L1408" s="5"/>
      <c r="M1408" s="5"/>
      <c r="N1408" s="5"/>
      <c r="P1408" s="5"/>
      <c r="Q1408" s="5"/>
      <c r="R1408" s="5"/>
      <c r="S1408" s="5"/>
      <c r="U1408" s="5"/>
      <c r="W1408" s="5"/>
    </row>
    <row r="1409" spans="3:23" ht="14.25" customHeight="1" x14ac:dyDescent="0.2">
      <c r="C1409" s="5"/>
      <c r="I1409" s="5"/>
      <c r="L1409" s="5"/>
      <c r="M1409" s="5"/>
      <c r="N1409" s="5"/>
      <c r="P1409" s="5"/>
      <c r="Q1409" s="5"/>
      <c r="R1409" s="5"/>
      <c r="S1409" s="5"/>
      <c r="U1409" s="5"/>
      <c r="W1409" s="5"/>
    </row>
    <row r="1410" spans="3:23" ht="14.25" customHeight="1" x14ac:dyDescent="0.2">
      <c r="C1410" s="5"/>
      <c r="I1410" s="5"/>
      <c r="L1410" s="5"/>
      <c r="M1410" s="5"/>
      <c r="N1410" s="5"/>
      <c r="P1410" s="5"/>
      <c r="Q1410" s="5"/>
      <c r="R1410" s="5"/>
      <c r="S1410" s="5"/>
      <c r="U1410" s="5"/>
      <c r="W1410" s="5"/>
    </row>
    <row r="1411" spans="3:23" ht="14.25" customHeight="1" x14ac:dyDescent="0.2">
      <c r="C1411" s="5"/>
      <c r="I1411" s="5"/>
      <c r="L1411" s="5"/>
      <c r="M1411" s="5"/>
      <c r="N1411" s="5"/>
      <c r="P1411" s="5"/>
      <c r="Q1411" s="5"/>
      <c r="R1411" s="5"/>
      <c r="S1411" s="5"/>
      <c r="U1411" s="5"/>
      <c r="W1411" s="5"/>
    </row>
    <row r="1412" spans="3:23" x14ac:dyDescent="0.2">
      <c r="C1412" s="5"/>
      <c r="I1412" s="5"/>
      <c r="L1412" s="5"/>
      <c r="M1412" s="5"/>
      <c r="N1412" s="5"/>
      <c r="P1412" s="5"/>
      <c r="Q1412" s="5"/>
      <c r="R1412" s="5"/>
      <c r="S1412" s="5"/>
      <c r="U1412" s="5"/>
      <c r="W1412" s="5"/>
    </row>
    <row r="1413" spans="3:23" ht="14.25" customHeight="1" x14ac:dyDescent="0.2">
      <c r="C1413" s="5"/>
      <c r="I1413" s="5"/>
      <c r="L1413" s="5"/>
      <c r="M1413" s="5"/>
      <c r="N1413" s="5"/>
      <c r="P1413" s="5"/>
      <c r="Q1413" s="5"/>
      <c r="R1413" s="5"/>
      <c r="S1413" s="5"/>
      <c r="U1413" s="5"/>
      <c r="W1413" s="5"/>
    </row>
    <row r="1414" spans="3:23" ht="14.25" customHeight="1" x14ac:dyDescent="0.2">
      <c r="C1414" s="5"/>
      <c r="I1414" s="5"/>
      <c r="L1414" s="5"/>
      <c r="M1414" s="5"/>
      <c r="N1414" s="5"/>
      <c r="P1414" s="5"/>
      <c r="Q1414" s="5"/>
      <c r="R1414" s="5"/>
      <c r="S1414" s="5"/>
      <c r="U1414" s="5"/>
      <c r="W1414" s="5"/>
    </row>
    <row r="1415" spans="3:23" x14ac:dyDescent="0.2">
      <c r="C1415" s="5"/>
      <c r="I1415" s="5"/>
      <c r="L1415" s="5"/>
      <c r="M1415" s="5"/>
      <c r="N1415" s="5"/>
      <c r="P1415" s="5"/>
      <c r="Q1415" s="5"/>
      <c r="R1415" s="5"/>
      <c r="S1415" s="5"/>
      <c r="U1415" s="5"/>
      <c r="W1415" s="5"/>
    </row>
    <row r="1416" spans="3:23" ht="14.25" customHeight="1" x14ac:dyDescent="0.2">
      <c r="C1416" s="5"/>
      <c r="I1416" s="5"/>
      <c r="L1416" s="5"/>
      <c r="M1416" s="5"/>
      <c r="N1416" s="5"/>
      <c r="P1416" s="5"/>
      <c r="Q1416" s="5"/>
      <c r="R1416" s="5"/>
      <c r="S1416" s="5"/>
      <c r="U1416" s="5"/>
      <c r="W1416" s="5"/>
    </row>
    <row r="1417" spans="3:23" ht="14.25" customHeight="1" x14ac:dyDescent="0.2">
      <c r="C1417" s="5"/>
      <c r="I1417" s="5"/>
      <c r="L1417" s="5"/>
      <c r="M1417" s="5"/>
      <c r="N1417" s="5"/>
      <c r="P1417" s="5"/>
      <c r="Q1417" s="5"/>
      <c r="R1417" s="5"/>
      <c r="S1417" s="5"/>
      <c r="U1417" s="5"/>
      <c r="W1417" s="5"/>
    </row>
    <row r="1418" spans="3:23" ht="14.25" customHeight="1" x14ac:dyDescent="0.2">
      <c r="C1418" s="5"/>
      <c r="I1418" s="5"/>
      <c r="L1418" s="5"/>
      <c r="M1418" s="5"/>
      <c r="N1418" s="5"/>
      <c r="P1418" s="5"/>
      <c r="Q1418" s="5"/>
      <c r="R1418" s="5"/>
      <c r="S1418" s="5"/>
      <c r="U1418" s="5"/>
      <c r="W1418" s="5"/>
    </row>
    <row r="1419" spans="3:23" ht="14.25" customHeight="1" x14ac:dyDescent="0.2">
      <c r="C1419" s="5"/>
      <c r="I1419" s="5"/>
      <c r="L1419" s="5"/>
      <c r="M1419" s="5"/>
      <c r="N1419" s="5"/>
      <c r="P1419" s="5"/>
      <c r="Q1419" s="5"/>
      <c r="R1419" s="5"/>
      <c r="S1419" s="5"/>
      <c r="U1419" s="5"/>
      <c r="W1419" s="5"/>
    </row>
    <row r="1420" spans="3:23" ht="14.25" customHeight="1" x14ac:dyDescent="0.2">
      <c r="C1420" s="5"/>
      <c r="I1420" s="5"/>
      <c r="L1420" s="5"/>
      <c r="M1420" s="5"/>
      <c r="N1420" s="5"/>
      <c r="P1420" s="5"/>
      <c r="Q1420" s="5"/>
      <c r="R1420" s="5"/>
      <c r="S1420" s="5"/>
      <c r="U1420" s="5"/>
      <c r="W1420" s="5"/>
    </row>
    <row r="1421" spans="3:23" ht="14.25" customHeight="1" x14ac:dyDescent="0.2">
      <c r="C1421" s="5"/>
      <c r="I1421" s="5"/>
      <c r="L1421" s="5"/>
      <c r="M1421" s="5"/>
      <c r="N1421" s="5"/>
      <c r="P1421" s="5"/>
      <c r="Q1421" s="5"/>
      <c r="R1421" s="5"/>
      <c r="S1421" s="5"/>
      <c r="U1421" s="5"/>
      <c r="W1421" s="5"/>
    </row>
    <row r="1422" spans="3:23" ht="14.25" customHeight="1" x14ac:dyDescent="0.2">
      <c r="C1422" s="5"/>
      <c r="I1422" s="5"/>
      <c r="L1422" s="5"/>
      <c r="M1422" s="5"/>
      <c r="N1422" s="5"/>
      <c r="P1422" s="5"/>
      <c r="Q1422" s="5"/>
      <c r="R1422" s="5"/>
      <c r="S1422" s="5"/>
      <c r="U1422" s="5"/>
      <c r="W1422" s="5"/>
    </row>
    <row r="1423" spans="3:23" ht="14.25" customHeight="1" x14ac:dyDescent="0.2">
      <c r="C1423" s="5"/>
      <c r="I1423" s="5"/>
      <c r="L1423" s="5"/>
      <c r="M1423" s="5"/>
      <c r="N1423" s="5"/>
      <c r="P1423" s="5"/>
      <c r="Q1423" s="5"/>
      <c r="R1423" s="5"/>
      <c r="S1423" s="5"/>
      <c r="U1423" s="5"/>
      <c r="W1423" s="5"/>
    </row>
    <row r="1424" spans="3:23" ht="14.25" customHeight="1" x14ac:dyDescent="0.2">
      <c r="C1424" s="5"/>
      <c r="I1424" s="5"/>
      <c r="L1424" s="5"/>
      <c r="M1424" s="5"/>
      <c r="N1424" s="5"/>
      <c r="P1424" s="5"/>
      <c r="Q1424" s="5"/>
      <c r="R1424" s="5"/>
      <c r="S1424" s="5"/>
      <c r="U1424" s="5"/>
      <c r="W1424" s="5"/>
    </row>
    <row r="1425" spans="3:23" ht="14.25" customHeight="1" x14ac:dyDescent="0.2">
      <c r="C1425" s="5"/>
      <c r="I1425" s="5"/>
      <c r="L1425" s="5"/>
      <c r="M1425" s="5"/>
      <c r="N1425" s="5"/>
      <c r="P1425" s="5"/>
      <c r="Q1425" s="5"/>
      <c r="R1425" s="5"/>
      <c r="S1425" s="5"/>
      <c r="U1425" s="5"/>
      <c r="W1425" s="5"/>
    </row>
    <row r="1426" spans="3:23" x14ac:dyDescent="0.2">
      <c r="C1426" s="5"/>
      <c r="I1426" s="5"/>
      <c r="L1426" s="5"/>
      <c r="M1426" s="5"/>
      <c r="N1426" s="5"/>
      <c r="P1426" s="5"/>
      <c r="Q1426" s="5"/>
      <c r="R1426" s="5"/>
      <c r="S1426" s="5"/>
      <c r="U1426" s="5"/>
      <c r="W1426" s="5"/>
    </row>
    <row r="1427" spans="3:23" ht="14.25" customHeight="1" x14ac:dyDescent="0.2">
      <c r="C1427" s="5"/>
      <c r="I1427" s="5"/>
      <c r="L1427" s="5"/>
      <c r="M1427" s="5"/>
      <c r="N1427" s="5"/>
      <c r="P1427" s="5"/>
      <c r="Q1427" s="5"/>
      <c r="R1427" s="5"/>
      <c r="S1427" s="5"/>
      <c r="U1427" s="5"/>
      <c r="W1427" s="5"/>
    </row>
    <row r="1428" spans="3:23" x14ac:dyDescent="0.2">
      <c r="C1428" s="5"/>
      <c r="I1428" s="5"/>
      <c r="L1428" s="5"/>
      <c r="M1428" s="5"/>
      <c r="N1428" s="5"/>
      <c r="P1428" s="5"/>
      <c r="Q1428" s="5"/>
      <c r="R1428" s="5"/>
      <c r="S1428" s="5"/>
      <c r="U1428" s="5"/>
      <c r="W1428" s="5"/>
    </row>
    <row r="1429" spans="3:23" ht="14.25" customHeight="1" x14ac:dyDescent="0.2">
      <c r="C1429" s="5"/>
      <c r="I1429" s="5"/>
      <c r="L1429" s="5"/>
      <c r="M1429" s="5"/>
      <c r="N1429" s="5"/>
      <c r="P1429" s="5"/>
      <c r="Q1429" s="5"/>
      <c r="R1429" s="5"/>
      <c r="S1429" s="5"/>
      <c r="U1429" s="5"/>
      <c r="W1429" s="5"/>
    </row>
    <row r="1430" spans="3:23" ht="14.25" customHeight="1" x14ac:dyDescent="0.2">
      <c r="C1430" s="5"/>
      <c r="I1430" s="5"/>
      <c r="L1430" s="5"/>
      <c r="M1430" s="5"/>
      <c r="N1430" s="5"/>
      <c r="P1430" s="5"/>
      <c r="Q1430" s="5"/>
      <c r="R1430" s="5"/>
      <c r="S1430" s="5"/>
      <c r="U1430" s="5"/>
      <c r="W1430" s="5"/>
    </row>
    <row r="1431" spans="3:23" ht="14.25" customHeight="1" x14ac:dyDescent="0.2">
      <c r="C1431" s="5"/>
      <c r="I1431" s="5"/>
      <c r="L1431" s="5"/>
      <c r="M1431" s="5"/>
      <c r="N1431" s="5"/>
      <c r="P1431" s="5"/>
      <c r="Q1431" s="5"/>
      <c r="R1431" s="5"/>
      <c r="S1431" s="5"/>
      <c r="U1431" s="5"/>
      <c r="W1431" s="5"/>
    </row>
    <row r="1432" spans="3:23" x14ac:dyDescent="0.2">
      <c r="C1432" s="5"/>
      <c r="I1432" s="5"/>
      <c r="L1432" s="5"/>
      <c r="M1432" s="5"/>
      <c r="N1432" s="5"/>
      <c r="P1432" s="5"/>
      <c r="Q1432" s="5"/>
      <c r="R1432" s="5"/>
      <c r="S1432" s="5"/>
      <c r="U1432" s="5"/>
      <c r="W1432" s="5"/>
    </row>
    <row r="1433" spans="3:23" ht="14.25" customHeight="1" x14ac:dyDescent="0.2">
      <c r="C1433" s="5"/>
      <c r="I1433" s="5"/>
      <c r="L1433" s="5"/>
      <c r="M1433" s="5"/>
      <c r="N1433" s="5"/>
      <c r="P1433" s="5"/>
      <c r="Q1433" s="5"/>
      <c r="R1433" s="5"/>
      <c r="S1433" s="5"/>
      <c r="U1433" s="5"/>
      <c r="W1433" s="5"/>
    </row>
    <row r="1434" spans="3:23" ht="14.25" customHeight="1" x14ac:dyDescent="0.2">
      <c r="C1434" s="5"/>
      <c r="I1434" s="5"/>
      <c r="L1434" s="5"/>
      <c r="M1434" s="5"/>
      <c r="N1434" s="5"/>
      <c r="P1434" s="5"/>
      <c r="Q1434" s="5"/>
      <c r="R1434" s="5"/>
      <c r="S1434" s="5"/>
      <c r="U1434" s="5"/>
      <c r="W1434" s="5"/>
    </row>
    <row r="1435" spans="3:23" ht="14.25" customHeight="1" x14ac:dyDescent="0.2">
      <c r="C1435" s="5"/>
      <c r="I1435" s="5"/>
      <c r="L1435" s="5"/>
      <c r="M1435" s="5"/>
      <c r="N1435" s="5"/>
      <c r="P1435" s="5"/>
      <c r="Q1435" s="5"/>
      <c r="R1435" s="5"/>
      <c r="S1435" s="5"/>
      <c r="U1435" s="5"/>
      <c r="W1435" s="5"/>
    </row>
    <row r="1436" spans="3:23" ht="14.25" customHeight="1" x14ac:dyDescent="0.2">
      <c r="C1436" s="5"/>
      <c r="I1436" s="5"/>
      <c r="L1436" s="5"/>
      <c r="M1436" s="5"/>
      <c r="N1436" s="5"/>
      <c r="P1436" s="5"/>
      <c r="Q1436" s="5"/>
      <c r="R1436" s="5"/>
      <c r="S1436" s="5"/>
      <c r="U1436" s="5"/>
      <c r="W1436" s="5"/>
    </row>
    <row r="1437" spans="3:23" ht="14.25" customHeight="1" x14ac:dyDescent="0.2">
      <c r="C1437" s="5"/>
      <c r="I1437" s="5"/>
      <c r="L1437" s="5"/>
      <c r="M1437" s="5"/>
      <c r="N1437" s="5"/>
      <c r="P1437" s="5"/>
      <c r="Q1437" s="5"/>
      <c r="R1437" s="5"/>
      <c r="S1437" s="5"/>
      <c r="U1437" s="5"/>
      <c r="W1437" s="5"/>
    </row>
    <row r="1438" spans="3:23" ht="14.25" customHeight="1" x14ac:dyDescent="0.2">
      <c r="C1438" s="5"/>
      <c r="I1438" s="5"/>
      <c r="L1438" s="5"/>
      <c r="M1438" s="5"/>
      <c r="N1438" s="5"/>
      <c r="P1438" s="5"/>
      <c r="Q1438" s="5"/>
      <c r="R1438" s="5"/>
      <c r="S1438" s="5"/>
      <c r="U1438" s="5"/>
      <c r="W1438" s="5"/>
    </row>
    <row r="1439" spans="3:23" ht="14.25" customHeight="1" x14ac:dyDescent="0.2">
      <c r="C1439" s="5"/>
      <c r="I1439" s="5"/>
      <c r="L1439" s="5"/>
      <c r="M1439" s="5"/>
      <c r="N1439" s="5"/>
      <c r="P1439" s="5"/>
      <c r="Q1439" s="5"/>
      <c r="R1439" s="5"/>
      <c r="S1439" s="5"/>
      <c r="U1439" s="5"/>
      <c r="W1439" s="5"/>
    </row>
    <row r="1440" spans="3:23" ht="14.25" customHeight="1" x14ac:dyDescent="0.2">
      <c r="C1440" s="5"/>
      <c r="I1440" s="5"/>
      <c r="L1440" s="5"/>
      <c r="M1440" s="5"/>
      <c r="N1440" s="5"/>
      <c r="P1440" s="5"/>
      <c r="Q1440" s="5"/>
      <c r="R1440" s="5"/>
      <c r="S1440" s="5"/>
      <c r="U1440" s="5"/>
      <c r="W1440" s="5"/>
    </row>
    <row r="1441" spans="3:23" ht="14.25" customHeight="1" x14ac:dyDescent="0.2">
      <c r="C1441" s="5"/>
      <c r="I1441" s="5"/>
      <c r="L1441" s="5"/>
      <c r="M1441" s="5"/>
      <c r="N1441" s="5"/>
      <c r="P1441" s="5"/>
      <c r="Q1441" s="5"/>
      <c r="R1441" s="5"/>
      <c r="S1441" s="5"/>
      <c r="U1441" s="5"/>
      <c r="W1441" s="5"/>
    </row>
    <row r="1442" spans="3:23" ht="14.25" customHeight="1" x14ac:dyDescent="0.2">
      <c r="C1442" s="5"/>
      <c r="I1442" s="5"/>
      <c r="L1442" s="5"/>
      <c r="M1442" s="5"/>
      <c r="N1442" s="5"/>
      <c r="P1442" s="5"/>
      <c r="Q1442" s="5"/>
      <c r="R1442" s="5"/>
      <c r="S1442" s="5"/>
      <c r="U1442" s="5"/>
      <c r="W1442" s="5"/>
    </row>
    <row r="1443" spans="3:23" ht="14.25" customHeight="1" x14ac:dyDescent="0.2">
      <c r="C1443" s="5"/>
      <c r="I1443" s="5"/>
      <c r="L1443" s="5"/>
      <c r="M1443" s="5"/>
      <c r="N1443" s="5"/>
      <c r="P1443" s="5"/>
      <c r="Q1443" s="5"/>
      <c r="R1443" s="5"/>
      <c r="S1443" s="5"/>
      <c r="U1443" s="5"/>
      <c r="W1443" s="5"/>
    </row>
    <row r="1444" spans="3:23" ht="14.25" customHeight="1" x14ac:dyDescent="0.2">
      <c r="C1444" s="5"/>
      <c r="I1444" s="5"/>
      <c r="L1444" s="5"/>
      <c r="M1444" s="5"/>
      <c r="N1444" s="5"/>
      <c r="P1444" s="5"/>
      <c r="Q1444" s="5"/>
      <c r="R1444" s="5"/>
      <c r="S1444" s="5"/>
      <c r="U1444" s="5"/>
      <c r="W1444" s="5"/>
    </row>
    <row r="1445" spans="3:23" ht="14.25" customHeight="1" x14ac:dyDescent="0.2">
      <c r="C1445" s="5"/>
      <c r="I1445" s="5"/>
      <c r="L1445" s="5"/>
      <c r="M1445" s="5"/>
      <c r="N1445" s="5"/>
      <c r="P1445" s="5"/>
      <c r="Q1445" s="5"/>
      <c r="R1445" s="5"/>
      <c r="S1445" s="5"/>
      <c r="U1445" s="5"/>
      <c r="W1445" s="5"/>
    </row>
    <row r="1446" spans="3:23" ht="14.25" customHeight="1" x14ac:dyDescent="0.2">
      <c r="C1446" s="5"/>
      <c r="I1446" s="5"/>
      <c r="L1446" s="5"/>
      <c r="M1446" s="5"/>
      <c r="N1446" s="5"/>
      <c r="P1446" s="5"/>
      <c r="Q1446" s="5"/>
      <c r="R1446" s="5"/>
      <c r="S1446" s="5"/>
      <c r="U1446" s="5"/>
      <c r="W1446" s="5"/>
    </row>
    <row r="1447" spans="3:23" ht="14.25" customHeight="1" x14ac:dyDescent="0.2">
      <c r="C1447" s="5"/>
      <c r="I1447" s="5"/>
      <c r="L1447" s="5"/>
      <c r="M1447" s="5"/>
      <c r="N1447" s="5"/>
      <c r="P1447" s="5"/>
      <c r="Q1447" s="5"/>
      <c r="R1447" s="5"/>
      <c r="S1447" s="5"/>
      <c r="U1447" s="5"/>
      <c r="W1447" s="5"/>
    </row>
    <row r="1448" spans="3:23" x14ac:dyDescent="0.2">
      <c r="C1448" s="5"/>
      <c r="I1448" s="5"/>
      <c r="L1448" s="5"/>
      <c r="M1448" s="5"/>
      <c r="N1448" s="5"/>
      <c r="P1448" s="5"/>
      <c r="Q1448" s="5"/>
      <c r="R1448" s="5"/>
      <c r="S1448" s="5"/>
      <c r="U1448" s="5"/>
      <c r="W1448" s="5"/>
    </row>
    <row r="1449" spans="3:23" ht="14.25" customHeight="1" x14ac:dyDescent="0.2">
      <c r="C1449" s="5"/>
      <c r="I1449" s="5"/>
      <c r="L1449" s="5"/>
      <c r="M1449" s="5"/>
      <c r="N1449" s="5"/>
      <c r="P1449" s="5"/>
      <c r="Q1449" s="5"/>
      <c r="R1449" s="5"/>
      <c r="S1449" s="5"/>
      <c r="U1449" s="5"/>
      <c r="W1449" s="5"/>
    </row>
    <row r="1450" spans="3:23" ht="14.25" customHeight="1" x14ac:dyDescent="0.2">
      <c r="C1450" s="5"/>
      <c r="I1450" s="5"/>
      <c r="L1450" s="5"/>
      <c r="M1450" s="5"/>
      <c r="N1450" s="5"/>
      <c r="P1450" s="5"/>
      <c r="Q1450" s="5"/>
      <c r="R1450" s="5"/>
      <c r="S1450" s="5"/>
      <c r="U1450" s="5"/>
      <c r="W1450" s="5"/>
    </row>
    <row r="1451" spans="3:23" ht="14.25" customHeight="1" x14ac:dyDescent="0.2">
      <c r="C1451" s="5"/>
      <c r="I1451" s="5"/>
      <c r="L1451" s="5"/>
      <c r="M1451" s="5"/>
      <c r="N1451" s="5"/>
      <c r="P1451" s="5"/>
      <c r="Q1451" s="5"/>
      <c r="R1451" s="5"/>
      <c r="S1451" s="5"/>
      <c r="U1451" s="5"/>
      <c r="W1451" s="5"/>
    </row>
    <row r="1452" spans="3:23" ht="14.25" customHeight="1" x14ac:dyDescent="0.2">
      <c r="C1452" s="5"/>
      <c r="I1452" s="5"/>
      <c r="L1452" s="5"/>
      <c r="M1452" s="5"/>
      <c r="N1452" s="5"/>
      <c r="P1452" s="5"/>
      <c r="Q1452" s="5"/>
      <c r="R1452" s="5"/>
      <c r="S1452" s="5"/>
      <c r="U1452" s="5"/>
      <c r="W1452" s="5"/>
    </row>
    <row r="1453" spans="3:23" ht="14.25" customHeight="1" x14ac:dyDescent="0.2">
      <c r="C1453" s="5"/>
      <c r="I1453" s="5"/>
      <c r="L1453" s="5"/>
      <c r="M1453" s="5"/>
      <c r="N1453" s="5"/>
      <c r="P1453" s="5"/>
      <c r="Q1453" s="5"/>
      <c r="R1453" s="5"/>
      <c r="S1453" s="5"/>
      <c r="U1453" s="5"/>
      <c r="W1453" s="5"/>
    </row>
    <row r="1454" spans="3:23" ht="14.25" customHeight="1" x14ac:dyDescent="0.2">
      <c r="C1454" s="5"/>
      <c r="I1454" s="5"/>
      <c r="L1454" s="5"/>
      <c r="M1454" s="5"/>
      <c r="N1454" s="5"/>
      <c r="P1454" s="5"/>
      <c r="Q1454" s="5"/>
      <c r="R1454" s="5"/>
      <c r="S1454" s="5"/>
      <c r="U1454" s="5"/>
      <c r="W1454" s="5"/>
    </row>
    <row r="1455" spans="3:23" ht="14.25" customHeight="1" x14ac:dyDescent="0.2">
      <c r="C1455" s="5"/>
      <c r="I1455" s="5"/>
      <c r="L1455" s="5"/>
      <c r="M1455" s="5"/>
      <c r="N1455" s="5"/>
      <c r="P1455" s="5"/>
      <c r="Q1455" s="5"/>
      <c r="R1455" s="5"/>
      <c r="S1455" s="5"/>
      <c r="U1455" s="5"/>
      <c r="W1455" s="5"/>
    </row>
    <row r="1456" spans="3:23" x14ac:dyDescent="0.2">
      <c r="C1456" s="5"/>
      <c r="I1456" s="5"/>
      <c r="L1456" s="5"/>
      <c r="M1456" s="5"/>
      <c r="N1456" s="5"/>
      <c r="P1456" s="5"/>
      <c r="Q1456" s="5"/>
      <c r="R1456" s="5"/>
      <c r="S1456" s="5"/>
      <c r="U1456" s="5"/>
      <c r="W1456" s="5"/>
    </row>
    <row r="1457" spans="3:23" x14ac:dyDescent="0.2">
      <c r="C1457" s="5"/>
      <c r="I1457" s="5"/>
      <c r="L1457" s="5"/>
      <c r="M1457" s="5"/>
      <c r="N1457" s="5"/>
      <c r="P1457" s="5"/>
      <c r="Q1457" s="5"/>
      <c r="R1457" s="5"/>
      <c r="S1457" s="5"/>
      <c r="U1457" s="5"/>
      <c r="W1457" s="5"/>
    </row>
    <row r="1458" spans="3:23" x14ac:dyDescent="0.2">
      <c r="C1458" s="5"/>
      <c r="I1458" s="5"/>
      <c r="L1458" s="5"/>
      <c r="M1458" s="5"/>
      <c r="N1458" s="5"/>
      <c r="P1458" s="5"/>
      <c r="Q1458" s="5"/>
      <c r="R1458" s="5"/>
      <c r="S1458" s="5"/>
      <c r="U1458" s="5"/>
      <c r="W1458" s="5"/>
    </row>
    <row r="1459" spans="3:23" x14ac:dyDescent="0.2">
      <c r="C1459" s="5"/>
      <c r="I1459" s="5"/>
      <c r="L1459" s="5"/>
      <c r="M1459" s="5"/>
      <c r="N1459" s="5"/>
      <c r="P1459" s="5"/>
      <c r="Q1459" s="5"/>
      <c r="R1459" s="5"/>
      <c r="S1459" s="5"/>
      <c r="U1459" s="5"/>
      <c r="W1459" s="5"/>
    </row>
    <row r="1460" spans="3:23" ht="14.25" customHeight="1" x14ac:dyDescent="0.2">
      <c r="C1460" s="5"/>
      <c r="I1460" s="5"/>
      <c r="L1460" s="5"/>
      <c r="M1460" s="5"/>
      <c r="N1460" s="5"/>
      <c r="P1460" s="5"/>
      <c r="Q1460" s="5"/>
      <c r="R1460" s="5"/>
      <c r="S1460" s="5"/>
      <c r="U1460" s="5"/>
      <c r="W1460" s="5"/>
    </row>
    <row r="1461" spans="3:23" ht="14.25" customHeight="1" x14ac:dyDescent="0.2">
      <c r="C1461" s="5"/>
      <c r="I1461" s="5"/>
      <c r="L1461" s="5"/>
      <c r="M1461" s="5"/>
      <c r="N1461" s="5"/>
      <c r="P1461" s="5"/>
      <c r="Q1461" s="5"/>
      <c r="R1461" s="5"/>
      <c r="S1461" s="5"/>
      <c r="U1461" s="5"/>
      <c r="W1461" s="5"/>
    </row>
    <row r="1462" spans="3:23" x14ac:dyDescent="0.2">
      <c r="C1462" s="5"/>
      <c r="I1462" s="5"/>
      <c r="L1462" s="5"/>
      <c r="M1462" s="5"/>
      <c r="N1462" s="5"/>
      <c r="P1462" s="5"/>
      <c r="Q1462" s="5"/>
      <c r="R1462" s="5"/>
      <c r="S1462" s="5"/>
      <c r="U1462" s="5"/>
      <c r="W1462" s="5"/>
    </row>
    <row r="1463" spans="3:23" ht="14.25" customHeight="1" x14ac:dyDescent="0.2">
      <c r="C1463" s="5"/>
      <c r="I1463" s="5"/>
      <c r="L1463" s="5"/>
      <c r="M1463" s="5"/>
      <c r="N1463" s="5"/>
      <c r="P1463" s="5"/>
      <c r="Q1463" s="5"/>
      <c r="R1463" s="5"/>
      <c r="S1463" s="5"/>
      <c r="U1463" s="5"/>
      <c r="W1463" s="5"/>
    </row>
    <row r="1464" spans="3:23" ht="14.25" customHeight="1" x14ac:dyDescent="0.2">
      <c r="C1464" s="5"/>
      <c r="I1464" s="5"/>
      <c r="L1464" s="5"/>
      <c r="M1464" s="5"/>
      <c r="N1464" s="5"/>
      <c r="P1464" s="5"/>
      <c r="Q1464" s="5"/>
      <c r="R1464" s="5"/>
      <c r="S1464" s="5"/>
      <c r="U1464" s="5"/>
      <c r="W1464" s="5"/>
    </row>
    <row r="1465" spans="3:23" x14ac:dyDescent="0.2">
      <c r="C1465" s="5"/>
      <c r="I1465" s="5"/>
      <c r="L1465" s="5"/>
      <c r="M1465" s="5"/>
      <c r="N1465" s="5"/>
      <c r="P1465" s="5"/>
      <c r="Q1465" s="5"/>
      <c r="R1465" s="5"/>
      <c r="S1465" s="5"/>
      <c r="U1465" s="5"/>
      <c r="W1465" s="5"/>
    </row>
    <row r="1466" spans="3:23" ht="14.25" customHeight="1" x14ac:dyDescent="0.2">
      <c r="C1466" s="5"/>
      <c r="I1466" s="5"/>
      <c r="L1466" s="5"/>
      <c r="M1466" s="5"/>
      <c r="N1466" s="5"/>
      <c r="P1466" s="5"/>
      <c r="Q1466" s="5"/>
      <c r="R1466" s="5"/>
      <c r="S1466" s="5"/>
      <c r="U1466" s="5"/>
      <c r="W1466" s="5"/>
    </row>
    <row r="1467" spans="3:23" ht="14.25" customHeight="1" x14ac:dyDescent="0.2">
      <c r="C1467" s="5"/>
      <c r="I1467" s="5"/>
      <c r="L1467" s="5"/>
      <c r="M1467" s="5"/>
      <c r="N1467" s="5"/>
      <c r="P1467" s="5"/>
      <c r="Q1467" s="5"/>
      <c r="R1467" s="5"/>
      <c r="S1467" s="5"/>
      <c r="U1467" s="5"/>
      <c r="W1467" s="5"/>
    </row>
    <row r="1468" spans="3:23" ht="14.25" customHeight="1" x14ac:dyDescent="0.2">
      <c r="C1468" s="5"/>
      <c r="I1468" s="5"/>
      <c r="L1468" s="5"/>
      <c r="M1468" s="5"/>
      <c r="N1468" s="5"/>
      <c r="P1468" s="5"/>
      <c r="Q1468" s="5"/>
      <c r="R1468" s="5"/>
      <c r="S1468" s="5"/>
      <c r="U1468" s="5"/>
      <c r="W1468" s="5"/>
    </row>
    <row r="1469" spans="3:23" ht="14.25" customHeight="1" x14ac:dyDescent="0.2">
      <c r="C1469" s="5"/>
      <c r="I1469" s="5"/>
      <c r="L1469" s="5"/>
      <c r="M1469" s="5"/>
      <c r="N1469" s="5"/>
      <c r="P1469" s="5"/>
      <c r="Q1469" s="5"/>
      <c r="R1469" s="5"/>
      <c r="S1469" s="5"/>
      <c r="U1469" s="5"/>
      <c r="W1469" s="5"/>
    </row>
    <row r="1470" spans="3:23" ht="14.25" customHeight="1" x14ac:dyDescent="0.2">
      <c r="C1470" s="5"/>
      <c r="I1470" s="5"/>
      <c r="L1470" s="5"/>
      <c r="M1470" s="5"/>
      <c r="N1470" s="5"/>
      <c r="P1470" s="5"/>
      <c r="Q1470" s="5"/>
      <c r="R1470" s="5"/>
      <c r="S1470" s="5"/>
      <c r="U1470" s="5"/>
      <c r="W1470" s="5"/>
    </row>
    <row r="1471" spans="3:23" ht="14.25" customHeight="1" x14ac:dyDescent="0.2">
      <c r="C1471" s="5"/>
      <c r="I1471" s="5"/>
      <c r="L1471" s="5"/>
      <c r="M1471" s="5"/>
      <c r="N1471" s="5"/>
      <c r="P1471" s="5"/>
      <c r="Q1471" s="5"/>
      <c r="R1471" s="5"/>
      <c r="S1471" s="5"/>
      <c r="U1471" s="5"/>
      <c r="W1471" s="5"/>
    </row>
    <row r="1472" spans="3:23" ht="14.25" customHeight="1" x14ac:dyDescent="0.2">
      <c r="C1472" s="5"/>
      <c r="I1472" s="5"/>
      <c r="L1472" s="5"/>
      <c r="M1472" s="5"/>
      <c r="N1472" s="5"/>
      <c r="P1472" s="5"/>
      <c r="Q1472" s="5"/>
      <c r="R1472" s="5"/>
      <c r="S1472" s="5"/>
      <c r="U1472" s="5"/>
      <c r="W1472" s="5"/>
    </row>
    <row r="1473" spans="3:23" ht="14.25" customHeight="1" x14ac:dyDescent="0.2">
      <c r="C1473" s="5"/>
      <c r="I1473" s="5"/>
      <c r="L1473" s="5"/>
      <c r="M1473" s="5"/>
      <c r="N1473" s="5"/>
      <c r="P1473" s="5"/>
      <c r="Q1473" s="5"/>
      <c r="R1473" s="5"/>
      <c r="S1473" s="5"/>
      <c r="U1473" s="5"/>
      <c r="W1473" s="5"/>
    </row>
    <row r="1474" spans="3:23" ht="14.25" customHeight="1" x14ac:dyDescent="0.2">
      <c r="C1474" s="5"/>
      <c r="I1474" s="5"/>
      <c r="L1474" s="5"/>
      <c r="M1474" s="5"/>
      <c r="N1474" s="5"/>
      <c r="P1474" s="5"/>
      <c r="Q1474" s="5"/>
      <c r="R1474" s="5"/>
      <c r="S1474" s="5"/>
      <c r="U1474" s="5"/>
      <c r="W1474" s="5"/>
    </row>
    <row r="1475" spans="3:23" x14ac:dyDescent="0.2">
      <c r="C1475" s="5"/>
      <c r="I1475" s="5"/>
      <c r="L1475" s="5"/>
      <c r="M1475" s="5"/>
      <c r="N1475" s="5"/>
      <c r="P1475" s="5"/>
      <c r="Q1475" s="5"/>
      <c r="R1475" s="5"/>
      <c r="S1475" s="5"/>
      <c r="U1475" s="5"/>
      <c r="W1475" s="5"/>
    </row>
    <row r="1476" spans="3:23" ht="14.25" customHeight="1" x14ac:dyDescent="0.2">
      <c r="C1476" s="5"/>
      <c r="I1476" s="5"/>
      <c r="L1476" s="5"/>
      <c r="M1476" s="5"/>
      <c r="N1476" s="5"/>
      <c r="P1476" s="5"/>
      <c r="Q1476" s="5"/>
      <c r="R1476" s="5"/>
      <c r="S1476" s="5"/>
      <c r="U1476" s="5"/>
      <c r="W1476" s="5"/>
    </row>
    <row r="1477" spans="3:23" ht="14.25" customHeight="1" x14ac:dyDescent="0.2">
      <c r="C1477" s="5"/>
      <c r="I1477" s="5"/>
      <c r="L1477" s="5"/>
      <c r="M1477" s="5"/>
      <c r="N1477" s="5"/>
      <c r="P1477" s="5"/>
      <c r="Q1477" s="5"/>
      <c r="R1477" s="5"/>
      <c r="S1477" s="5"/>
      <c r="U1477" s="5"/>
      <c r="W1477" s="5"/>
    </row>
    <row r="1478" spans="3:23" ht="14.25" customHeight="1" x14ac:dyDescent="0.2">
      <c r="C1478" s="5"/>
      <c r="I1478" s="5"/>
      <c r="L1478" s="5"/>
      <c r="M1478" s="5"/>
      <c r="N1478" s="5"/>
      <c r="P1478" s="5"/>
      <c r="Q1478" s="5"/>
      <c r="R1478" s="5"/>
      <c r="S1478" s="5"/>
      <c r="U1478" s="5"/>
      <c r="W1478" s="5"/>
    </row>
    <row r="1479" spans="3:23" ht="14.25" customHeight="1" x14ac:dyDescent="0.2">
      <c r="C1479" s="5"/>
      <c r="I1479" s="5"/>
      <c r="L1479" s="5"/>
      <c r="M1479" s="5"/>
      <c r="N1479" s="5"/>
      <c r="P1479" s="5"/>
      <c r="Q1479" s="5"/>
      <c r="R1479" s="5"/>
      <c r="S1479" s="5"/>
      <c r="U1479" s="5"/>
      <c r="W1479" s="5"/>
    </row>
    <row r="1480" spans="3:23" ht="14.25" customHeight="1" x14ac:dyDescent="0.2">
      <c r="C1480" s="5"/>
      <c r="I1480" s="5"/>
      <c r="L1480" s="5"/>
      <c r="M1480" s="5"/>
      <c r="N1480" s="5"/>
      <c r="P1480" s="5"/>
      <c r="Q1480" s="5"/>
      <c r="R1480" s="5"/>
      <c r="S1480" s="5"/>
      <c r="U1480" s="5"/>
      <c r="W1480" s="5"/>
    </row>
    <row r="1481" spans="3:23" ht="14.25" customHeight="1" x14ac:dyDescent="0.2">
      <c r="C1481" s="5"/>
      <c r="I1481" s="5"/>
      <c r="L1481" s="5"/>
      <c r="M1481" s="5"/>
      <c r="N1481" s="5"/>
      <c r="P1481" s="5"/>
      <c r="Q1481" s="5"/>
      <c r="R1481" s="5"/>
      <c r="S1481" s="5"/>
      <c r="U1481" s="5"/>
      <c r="W1481" s="5"/>
    </row>
    <row r="1482" spans="3:23" ht="14.25" customHeight="1" x14ac:dyDescent="0.2">
      <c r="C1482" s="5"/>
      <c r="I1482" s="5"/>
      <c r="L1482" s="5"/>
      <c r="M1482" s="5"/>
      <c r="N1482" s="5"/>
      <c r="P1482" s="5"/>
      <c r="Q1482" s="5"/>
      <c r="R1482" s="5"/>
      <c r="S1482" s="5"/>
      <c r="U1482" s="5"/>
      <c r="W1482" s="5"/>
    </row>
    <row r="1483" spans="3:23" ht="14.25" customHeight="1" x14ac:dyDescent="0.2">
      <c r="C1483" s="5"/>
      <c r="I1483" s="5"/>
      <c r="L1483" s="5"/>
      <c r="M1483" s="5"/>
      <c r="N1483" s="5"/>
      <c r="P1483" s="5"/>
      <c r="Q1483" s="5"/>
      <c r="R1483" s="5"/>
      <c r="S1483" s="5"/>
      <c r="U1483" s="5"/>
      <c r="W1483" s="5"/>
    </row>
    <row r="1484" spans="3:23" ht="14.25" customHeight="1" x14ac:dyDescent="0.2">
      <c r="C1484" s="5"/>
      <c r="I1484" s="5"/>
      <c r="L1484" s="5"/>
      <c r="M1484" s="5"/>
      <c r="N1484" s="5"/>
      <c r="P1484" s="5"/>
      <c r="Q1484" s="5"/>
      <c r="R1484" s="5"/>
      <c r="S1484" s="5"/>
      <c r="U1484" s="5"/>
      <c r="W1484" s="5"/>
    </row>
    <row r="1485" spans="3:23" ht="14.25" customHeight="1" x14ac:dyDescent="0.2">
      <c r="C1485" s="5"/>
      <c r="I1485" s="5"/>
      <c r="L1485" s="5"/>
      <c r="M1485" s="5"/>
      <c r="N1485" s="5"/>
      <c r="P1485" s="5"/>
      <c r="Q1485" s="5"/>
      <c r="R1485" s="5"/>
      <c r="S1485" s="5"/>
      <c r="U1485" s="5"/>
      <c r="W1485" s="5"/>
    </row>
    <row r="1486" spans="3:23" ht="14.25" customHeight="1" x14ac:dyDescent="0.2">
      <c r="C1486" s="5"/>
      <c r="I1486" s="5"/>
      <c r="L1486" s="5"/>
      <c r="M1486" s="5"/>
      <c r="N1486" s="5"/>
      <c r="P1486" s="5"/>
      <c r="Q1486" s="5"/>
      <c r="R1486" s="5"/>
      <c r="S1486" s="5"/>
      <c r="U1486" s="5"/>
      <c r="W1486" s="5"/>
    </row>
    <row r="1487" spans="3:23" ht="14.25" customHeight="1" x14ac:dyDescent="0.2">
      <c r="C1487" s="5"/>
      <c r="I1487" s="5"/>
      <c r="L1487" s="5"/>
      <c r="M1487" s="5"/>
      <c r="N1487" s="5"/>
      <c r="P1487" s="5"/>
      <c r="Q1487" s="5"/>
      <c r="R1487" s="5"/>
      <c r="S1487" s="5"/>
      <c r="U1487" s="5"/>
      <c r="W1487" s="5"/>
    </row>
    <row r="1488" spans="3:23" x14ac:dyDescent="0.2">
      <c r="C1488" s="5"/>
      <c r="I1488" s="5"/>
      <c r="L1488" s="5"/>
      <c r="M1488" s="5"/>
      <c r="N1488" s="5"/>
      <c r="P1488" s="5"/>
      <c r="Q1488" s="5"/>
      <c r="R1488" s="5"/>
      <c r="S1488" s="5"/>
      <c r="U1488" s="5"/>
      <c r="W1488" s="5"/>
    </row>
    <row r="1489" spans="3:23" x14ac:dyDescent="0.2">
      <c r="C1489" s="5"/>
      <c r="I1489" s="5"/>
      <c r="L1489" s="5"/>
      <c r="M1489" s="5"/>
      <c r="N1489" s="5"/>
      <c r="P1489" s="5"/>
      <c r="Q1489" s="5"/>
      <c r="R1489" s="5"/>
      <c r="S1489" s="5"/>
      <c r="U1489" s="5"/>
      <c r="W1489" s="5"/>
    </row>
    <row r="1490" spans="3:23" ht="29.25" customHeight="1" x14ac:dyDescent="0.2">
      <c r="C1490" s="5"/>
      <c r="I1490" s="5"/>
      <c r="L1490" s="5"/>
      <c r="M1490" s="5"/>
      <c r="N1490" s="5"/>
      <c r="P1490" s="5"/>
      <c r="Q1490" s="5"/>
      <c r="R1490" s="5"/>
      <c r="S1490" s="5"/>
      <c r="U1490" s="5"/>
      <c r="W1490" s="5"/>
    </row>
    <row r="1491" spans="3:23" ht="14.25" customHeight="1" x14ac:dyDescent="0.2">
      <c r="C1491" s="5"/>
      <c r="I1491" s="5"/>
      <c r="L1491" s="5"/>
      <c r="M1491" s="5"/>
      <c r="N1491" s="5"/>
      <c r="P1491" s="5"/>
      <c r="Q1491" s="5"/>
      <c r="R1491" s="5"/>
      <c r="S1491" s="5"/>
      <c r="U1491" s="5"/>
      <c r="W1491" s="5"/>
    </row>
    <row r="1492" spans="3:23" ht="14.25" customHeight="1" x14ac:dyDescent="0.2">
      <c r="C1492" s="5"/>
      <c r="I1492" s="5"/>
      <c r="L1492" s="5"/>
      <c r="M1492" s="5"/>
      <c r="N1492" s="5"/>
      <c r="P1492" s="5"/>
      <c r="Q1492" s="5"/>
      <c r="R1492" s="5"/>
      <c r="S1492" s="5"/>
      <c r="U1492" s="5"/>
      <c r="W1492" s="5"/>
    </row>
    <row r="1493" spans="3:23" ht="14.25" customHeight="1" x14ac:dyDescent="0.2">
      <c r="C1493" s="5"/>
      <c r="I1493" s="5"/>
      <c r="L1493" s="5"/>
      <c r="M1493" s="5"/>
      <c r="N1493" s="5"/>
      <c r="P1493" s="5"/>
      <c r="Q1493" s="5"/>
      <c r="R1493" s="5"/>
      <c r="S1493" s="5"/>
      <c r="U1493" s="5"/>
      <c r="W1493" s="5"/>
    </row>
    <row r="1494" spans="3:23" ht="14.25" customHeight="1" x14ac:dyDescent="0.2">
      <c r="C1494" s="5"/>
      <c r="I1494" s="5"/>
      <c r="L1494" s="5"/>
      <c r="M1494" s="5"/>
      <c r="N1494" s="5"/>
      <c r="P1494" s="5"/>
      <c r="Q1494" s="5"/>
      <c r="R1494" s="5"/>
      <c r="S1494" s="5"/>
      <c r="U1494" s="5"/>
      <c r="W1494" s="5"/>
    </row>
    <row r="1495" spans="3:23" x14ac:dyDescent="0.2">
      <c r="C1495" s="5"/>
      <c r="I1495" s="5"/>
      <c r="L1495" s="5"/>
      <c r="M1495" s="5"/>
      <c r="N1495" s="5"/>
      <c r="P1495" s="5"/>
      <c r="Q1495" s="5"/>
      <c r="R1495" s="5"/>
      <c r="S1495" s="5"/>
      <c r="U1495" s="5"/>
      <c r="W1495" s="5"/>
    </row>
    <row r="1496" spans="3:23" x14ac:dyDescent="0.2">
      <c r="C1496" s="5"/>
      <c r="I1496" s="5"/>
      <c r="L1496" s="5"/>
      <c r="M1496" s="5"/>
      <c r="N1496" s="5"/>
      <c r="P1496" s="5"/>
      <c r="Q1496" s="5"/>
      <c r="R1496" s="5"/>
      <c r="S1496" s="5"/>
      <c r="U1496" s="5"/>
      <c r="W1496" s="5"/>
    </row>
    <row r="1497" spans="3:23" x14ac:dyDescent="0.2">
      <c r="C1497" s="5"/>
      <c r="I1497" s="5"/>
      <c r="L1497" s="5"/>
      <c r="M1497" s="5"/>
      <c r="N1497" s="5"/>
      <c r="P1497" s="5"/>
      <c r="Q1497" s="5"/>
      <c r="R1497" s="5"/>
      <c r="S1497" s="5"/>
      <c r="U1497" s="5"/>
      <c r="W1497" s="5"/>
    </row>
    <row r="1498" spans="3:23" x14ac:dyDescent="0.2">
      <c r="C1498" s="5"/>
      <c r="I1498" s="5"/>
      <c r="L1498" s="5"/>
      <c r="M1498" s="5"/>
      <c r="N1498" s="5"/>
      <c r="P1498" s="5"/>
      <c r="Q1498" s="5"/>
      <c r="R1498" s="5"/>
      <c r="S1498" s="5"/>
      <c r="U1498" s="5"/>
      <c r="W1498" s="5"/>
    </row>
    <row r="1499" spans="3:23" ht="14.25" customHeight="1" x14ac:dyDescent="0.2">
      <c r="C1499" s="5"/>
      <c r="I1499" s="5"/>
      <c r="L1499" s="5"/>
      <c r="M1499" s="5"/>
      <c r="N1499" s="5"/>
      <c r="P1499" s="5"/>
      <c r="Q1499" s="5"/>
      <c r="R1499" s="5"/>
      <c r="S1499" s="5"/>
      <c r="U1499" s="5"/>
      <c r="W1499" s="5"/>
    </row>
    <row r="1500" spans="3:23" x14ac:dyDescent="0.2">
      <c r="C1500" s="5"/>
      <c r="I1500" s="5"/>
      <c r="L1500" s="5"/>
      <c r="M1500" s="5"/>
      <c r="N1500" s="5"/>
      <c r="P1500" s="5"/>
      <c r="Q1500" s="5"/>
      <c r="R1500" s="5"/>
      <c r="S1500" s="5"/>
      <c r="U1500" s="5"/>
      <c r="W1500" s="5"/>
    </row>
    <row r="1501" spans="3:23" ht="14.25" customHeight="1" x14ac:dyDescent="0.2">
      <c r="C1501" s="5"/>
      <c r="I1501" s="5"/>
      <c r="L1501" s="5"/>
      <c r="M1501" s="5"/>
      <c r="N1501" s="5"/>
      <c r="P1501" s="5"/>
      <c r="Q1501" s="5"/>
      <c r="R1501" s="5"/>
      <c r="S1501" s="5"/>
      <c r="U1501" s="5"/>
      <c r="W1501" s="5"/>
    </row>
    <row r="1502" spans="3:23" ht="14.25" customHeight="1" x14ac:dyDescent="0.2">
      <c r="C1502" s="5"/>
      <c r="I1502" s="5"/>
      <c r="L1502" s="5"/>
      <c r="M1502" s="5"/>
      <c r="N1502" s="5"/>
      <c r="P1502" s="5"/>
      <c r="Q1502" s="5"/>
      <c r="R1502" s="5"/>
      <c r="S1502" s="5"/>
      <c r="U1502" s="5"/>
      <c r="W1502" s="5"/>
    </row>
    <row r="1503" spans="3:23" x14ac:dyDescent="0.2">
      <c r="C1503" s="5"/>
      <c r="I1503" s="5"/>
      <c r="L1503" s="5"/>
      <c r="M1503" s="5"/>
      <c r="N1503" s="5"/>
      <c r="P1503" s="5"/>
      <c r="Q1503" s="5"/>
      <c r="R1503" s="5"/>
      <c r="S1503" s="5"/>
      <c r="U1503" s="5"/>
      <c r="W1503" s="5"/>
    </row>
    <row r="1504" spans="3:23" x14ac:dyDescent="0.2">
      <c r="C1504" s="5"/>
      <c r="I1504" s="5"/>
      <c r="L1504" s="5"/>
      <c r="M1504" s="5"/>
      <c r="N1504" s="5"/>
      <c r="P1504" s="5"/>
      <c r="Q1504" s="5"/>
      <c r="R1504" s="5"/>
      <c r="S1504" s="5"/>
      <c r="U1504" s="5"/>
      <c r="W1504" s="5"/>
    </row>
    <row r="1505" spans="3:23" x14ac:dyDescent="0.2">
      <c r="C1505" s="5"/>
      <c r="I1505" s="5"/>
      <c r="L1505" s="5"/>
      <c r="M1505" s="5"/>
      <c r="N1505" s="5"/>
      <c r="P1505" s="5"/>
      <c r="Q1505" s="5"/>
      <c r="R1505" s="5"/>
      <c r="S1505" s="5"/>
      <c r="U1505" s="5"/>
      <c r="W1505" s="5"/>
    </row>
    <row r="1506" spans="3:23" x14ac:dyDescent="0.2">
      <c r="C1506" s="5"/>
      <c r="I1506" s="5"/>
      <c r="L1506" s="5"/>
      <c r="M1506" s="5"/>
      <c r="N1506" s="5"/>
      <c r="P1506" s="5"/>
      <c r="Q1506" s="5"/>
      <c r="R1506" s="5"/>
      <c r="S1506" s="5"/>
      <c r="U1506" s="5"/>
      <c r="W1506" s="5"/>
    </row>
    <row r="1507" spans="3:23" x14ac:dyDescent="0.2">
      <c r="C1507" s="5"/>
      <c r="I1507" s="5"/>
      <c r="L1507" s="5"/>
      <c r="M1507" s="5"/>
      <c r="N1507" s="5"/>
      <c r="P1507" s="5"/>
      <c r="Q1507" s="5"/>
      <c r="R1507" s="5"/>
      <c r="S1507" s="5"/>
      <c r="U1507" s="5"/>
      <c r="W1507" s="5"/>
    </row>
    <row r="1508" spans="3:23" x14ac:dyDescent="0.2">
      <c r="C1508" s="5"/>
      <c r="I1508" s="5"/>
      <c r="L1508" s="5"/>
      <c r="M1508" s="5"/>
      <c r="N1508" s="5"/>
      <c r="P1508" s="5"/>
      <c r="Q1508" s="5"/>
      <c r="R1508" s="5"/>
      <c r="S1508" s="5"/>
      <c r="U1508" s="5"/>
      <c r="W1508" s="5"/>
    </row>
    <row r="1509" spans="3:23" x14ac:dyDescent="0.2">
      <c r="C1509" s="5"/>
      <c r="I1509" s="5"/>
      <c r="L1509" s="5"/>
      <c r="M1509" s="5"/>
      <c r="N1509" s="5"/>
      <c r="P1509" s="5"/>
      <c r="Q1509" s="5"/>
      <c r="R1509" s="5"/>
      <c r="S1509" s="5"/>
      <c r="U1509" s="5"/>
      <c r="W1509" s="5"/>
    </row>
    <row r="1510" spans="3:23" x14ac:dyDescent="0.2">
      <c r="C1510" s="5"/>
      <c r="I1510" s="5"/>
      <c r="L1510" s="5"/>
      <c r="M1510" s="5"/>
      <c r="N1510" s="5"/>
      <c r="P1510" s="5"/>
      <c r="Q1510" s="5"/>
      <c r="R1510" s="5"/>
      <c r="S1510" s="5"/>
      <c r="U1510" s="5"/>
      <c r="W1510" s="5"/>
    </row>
    <row r="1511" spans="3:23" x14ac:dyDescent="0.2">
      <c r="C1511" s="5"/>
      <c r="I1511" s="5"/>
      <c r="L1511" s="5"/>
      <c r="M1511" s="5"/>
      <c r="N1511" s="5"/>
      <c r="P1511" s="5"/>
      <c r="Q1511" s="5"/>
      <c r="R1511" s="5"/>
      <c r="S1511" s="5"/>
      <c r="U1511" s="5"/>
      <c r="W1511" s="5"/>
    </row>
    <row r="1512" spans="3:23" x14ac:dyDescent="0.2">
      <c r="C1512" s="5"/>
      <c r="I1512" s="5"/>
      <c r="L1512" s="5"/>
      <c r="M1512" s="5"/>
      <c r="N1512" s="5"/>
      <c r="P1512" s="5"/>
      <c r="Q1512" s="5"/>
      <c r="R1512" s="5"/>
      <c r="S1512" s="5"/>
      <c r="U1512" s="5"/>
      <c r="W1512" s="5"/>
    </row>
    <row r="1513" spans="3:23" x14ac:dyDescent="0.2">
      <c r="C1513" s="5"/>
      <c r="I1513" s="5"/>
      <c r="L1513" s="5"/>
      <c r="M1513" s="5"/>
      <c r="N1513" s="5"/>
      <c r="P1513" s="5"/>
      <c r="Q1513" s="5"/>
      <c r="R1513" s="5"/>
      <c r="S1513" s="5"/>
      <c r="U1513" s="5"/>
      <c r="W1513" s="5"/>
    </row>
    <row r="1514" spans="3:23" x14ac:dyDescent="0.2">
      <c r="C1514" s="5"/>
      <c r="I1514" s="5"/>
      <c r="L1514" s="5"/>
      <c r="M1514" s="5"/>
      <c r="N1514" s="5"/>
      <c r="P1514" s="5"/>
      <c r="Q1514" s="5"/>
      <c r="R1514" s="5"/>
      <c r="S1514" s="5"/>
      <c r="U1514" s="5"/>
      <c r="W1514" s="5"/>
    </row>
    <row r="1515" spans="3:23" x14ac:dyDescent="0.2">
      <c r="C1515" s="5"/>
      <c r="I1515" s="5"/>
      <c r="L1515" s="5"/>
      <c r="M1515" s="5"/>
      <c r="N1515" s="5"/>
      <c r="P1515" s="5"/>
      <c r="Q1515" s="5"/>
      <c r="R1515" s="5"/>
      <c r="S1515" s="5"/>
      <c r="U1515" s="5"/>
      <c r="W1515" s="5"/>
    </row>
    <row r="1516" spans="3:23" x14ac:dyDescent="0.2">
      <c r="C1516" s="5"/>
      <c r="I1516" s="5"/>
      <c r="L1516" s="5"/>
      <c r="M1516" s="5"/>
      <c r="N1516" s="5"/>
      <c r="P1516" s="5"/>
      <c r="Q1516" s="5"/>
      <c r="R1516" s="5"/>
      <c r="S1516" s="5"/>
      <c r="U1516" s="5"/>
      <c r="W1516" s="5"/>
    </row>
    <row r="1517" spans="3:23" x14ac:dyDescent="0.2">
      <c r="C1517" s="5"/>
      <c r="I1517" s="5"/>
      <c r="L1517" s="5"/>
      <c r="M1517" s="5"/>
      <c r="N1517" s="5"/>
      <c r="P1517" s="5"/>
      <c r="Q1517" s="5"/>
      <c r="R1517" s="5"/>
      <c r="S1517" s="5"/>
      <c r="U1517" s="5"/>
      <c r="W1517" s="5"/>
    </row>
    <row r="1518" spans="3:23" x14ac:dyDescent="0.2">
      <c r="C1518" s="5"/>
      <c r="I1518" s="5"/>
      <c r="L1518" s="5"/>
      <c r="M1518" s="5"/>
      <c r="N1518" s="5"/>
      <c r="P1518" s="5"/>
      <c r="Q1518" s="5"/>
      <c r="R1518" s="5"/>
      <c r="S1518" s="5"/>
      <c r="U1518" s="5"/>
      <c r="W1518" s="5"/>
    </row>
    <row r="1519" spans="3:23" x14ac:dyDescent="0.2">
      <c r="C1519" s="5"/>
      <c r="I1519" s="5"/>
      <c r="L1519" s="5"/>
      <c r="M1519" s="5"/>
      <c r="N1519" s="5"/>
      <c r="P1519" s="5"/>
      <c r="Q1519" s="5"/>
      <c r="R1519" s="5"/>
      <c r="S1519" s="5"/>
      <c r="U1519" s="5"/>
      <c r="W1519" s="5"/>
    </row>
    <row r="1520" spans="3:23" x14ac:dyDescent="0.2">
      <c r="C1520" s="5"/>
      <c r="I1520" s="5"/>
      <c r="L1520" s="5"/>
      <c r="M1520" s="5"/>
      <c r="N1520" s="5"/>
      <c r="P1520" s="5"/>
      <c r="Q1520" s="5"/>
      <c r="R1520" s="5"/>
      <c r="S1520" s="5"/>
      <c r="U1520" s="5"/>
      <c r="W1520" s="5"/>
    </row>
    <row r="1521" spans="3:23" x14ac:dyDescent="0.2">
      <c r="C1521" s="5"/>
      <c r="I1521" s="5"/>
      <c r="L1521" s="5"/>
      <c r="M1521" s="5"/>
      <c r="N1521" s="5"/>
      <c r="P1521" s="5"/>
      <c r="Q1521" s="5"/>
      <c r="R1521" s="5"/>
      <c r="S1521" s="5"/>
      <c r="U1521" s="5"/>
      <c r="W1521" s="5"/>
    </row>
    <row r="1522" spans="3:23" x14ac:dyDescent="0.2">
      <c r="C1522" s="5"/>
      <c r="I1522" s="5"/>
      <c r="L1522" s="5"/>
      <c r="M1522" s="5"/>
      <c r="N1522" s="5"/>
      <c r="P1522" s="5"/>
      <c r="Q1522" s="5"/>
      <c r="R1522" s="5"/>
      <c r="S1522" s="5"/>
      <c r="U1522" s="5"/>
      <c r="W1522" s="5"/>
    </row>
    <row r="1523" spans="3:23" x14ac:dyDescent="0.2">
      <c r="C1523" s="5"/>
      <c r="I1523" s="5"/>
      <c r="L1523" s="5"/>
      <c r="M1523" s="5"/>
      <c r="N1523" s="5"/>
      <c r="P1523" s="5"/>
      <c r="Q1523" s="5"/>
      <c r="R1523" s="5"/>
      <c r="S1523" s="5"/>
      <c r="U1523" s="5"/>
      <c r="W1523" s="5"/>
    </row>
    <row r="1524" spans="3:23" x14ac:dyDescent="0.2">
      <c r="C1524" s="5"/>
      <c r="I1524" s="5"/>
      <c r="L1524" s="5"/>
      <c r="M1524" s="5"/>
      <c r="N1524" s="5"/>
      <c r="P1524" s="5"/>
      <c r="Q1524" s="5"/>
      <c r="R1524" s="5"/>
      <c r="S1524" s="5"/>
      <c r="U1524" s="5"/>
      <c r="W1524" s="5"/>
    </row>
    <row r="1525" spans="3:23" x14ac:dyDescent="0.2">
      <c r="C1525" s="5"/>
      <c r="I1525" s="5"/>
      <c r="L1525" s="5"/>
      <c r="M1525" s="5"/>
      <c r="N1525" s="5"/>
      <c r="P1525" s="5"/>
      <c r="Q1525" s="5"/>
      <c r="R1525" s="5"/>
      <c r="S1525" s="5"/>
      <c r="U1525" s="5"/>
      <c r="W1525" s="5"/>
    </row>
    <row r="1526" spans="3:23" x14ac:dyDescent="0.2">
      <c r="C1526" s="5"/>
      <c r="I1526" s="5"/>
      <c r="L1526" s="5"/>
      <c r="M1526" s="5"/>
      <c r="N1526" s="5"/>
      <c r="P1526" s="5"/>
      <c r="Q1526" s="5"/>
      <c r="R1526" s="5"/>
      <c r="S1526" s="5"/>
      <c r="U1526" s="5"/>
      <c r="W1526" s="5"/>
    </row>
    <row r="1527" spans="3:23" x14ac:dyDescent="0.2">
      <c r="C1527" s="5"/>
      <c r="I1527" s="5"/>
      <c r="L1527" s="5"/>
      <c r="M1527" s="5"/>
      <c r="N1527" s="5"/>
      <c r="P1527" s="5"/>
      <c r="Q1527" s="5"/>
      <c r="R1527" s="5"/>
      <c r="S1527" s="5"/>
      <c r="U1527" s="5"/>
      <c r="W1527" s="5"/>
    </row>
    <row r="1528" spans="3:23" x14ac:dyDescent="0.2">
      <c r="C1528" s="5"/>
      <c r="I1528" s="5"/>
      <c r="L1528" s="5"/>
      <c r="M1528" s="5"/>
      <c r="N1528" s="5"/>
      <c r="P1528" s="5"/>
      <c r="Q1528" s="5"/>
      <c r="R1528" s="5"/>
      <c r="S1528" s="5"/>
      <c r="U1528" s="5"/>
      <c r="W1528" s="5"/>
    </row>
    <row r="1529" spans="3:23" x14ac:dyDescent="0.2">
      <c r="C1529" s="5"/>
      <c r="I1529" s="5"/>
      <c r="L1529" s="5"/>
      <c r="M1529" s="5"/>
      <c r="N1529" s="5"/>
      <c r="P1529" s="5"/>
      <c r="Q1529" s="5"/>
      <c r="R1529" s="5"/>
      <c r="S1529" s="5"/>
      <c r="U1529" s="5"/>
      <c r="W1529" s="5"/>
    </row>
    <row r="1530" spans="3:23" x14ac:dyDescent="0.2">
      <c r="C1530" s="5"/>
      <c r="I1530" s="5"/>
      <c r="L1530" s="5"/>
      <c r="M1530" s="5"/>
      <c r="N1530" s="5"/>
      <c r="P1530" s="5"/>
      <c r="Q1530" s="5"/>
      <c r="R1530" s="5"/>
      <c r="S1530" s="5"/>
      <c r="U1530" s="5"/>
      <c r="W1530" s="5"/>
    </row>
    <row r="1531" spans="3:23" x14ac:dyDescent="0.2">
      <c r="C1531" s="5"/>
      <c r="I1531" s="5"/>
      <c r="L1531" s="5"/>
      <c r="M1531" s="5"/>
      <c r="N1531" s="5"/>
      <c r="P1531" s="5"/>
      <c r="Q1531" s="5"/>
      <c r="R1531" s="5"/>
      <c r="S1531" s="5"/>
      <c r="U1531" s="5"/>
      <c r="W1531" s="5"/>
    </row>
    <row r="1532" spans="3:23" x14ac:dyDescent="0.2">
      <c r="C1532" s="5"/>
      <c r="I1532" s="5"/>
      <c r="L1532" s="5"/>
      <c r="M1532" s="5"/>
      <c r="N1532" s="5"/>
      <c r="P1532" s="5"/>
      <c r="Q1532" s="5"/>
      <c r="R1532" s="5"/>
      <c r="S1532" s="5"/>
      <c r="U1532" s="5"/>
      <c r="W1532" s="5"/>
    </row>
    <row r="1533" spans="3:23" x14ac:dyDescent="0.2">
      <c r="C1533" s="5"/>
      <c r="I1533" s="5"/>
      <c r="L1533" s="5"/>
      <c r="M1533" s="5"/>
      <c r="N1533" s="5"/>
      <c r="P1533" s="5"/>
      <c r="Q1533" s="5"/>
      <c r="R1533" s="5"/>
      <c r="S1533" s="5"/>
      <c r="U1533" s="5"/>
      <c r="W1533" s="5"/>
    </row>
    <row r="1534" spans="3:23" x14ac:dyDescent="0.2">
      <c r="C1534" s="5"/>
      <c r="I1534" s="5"/>
      <c r="L1534" s="5"/>
      <c r="M1534" s="5"/>
      <c r="N1534" s="5"/>
      <c r="P1534" s="5"/>
      <c r="Q1534" s="5"/>
      <c r="R1534" s="5"/>
      <c r="S1534" s="5"/>
      <c r="U1534" s="5"/>
      <c r="W1534" s="5"/>
    </row>
    <row r="1535" spans="3:23" ht="12" customHeight="1" x14ac:dyDescent="0.2">
      <c r="C1535" s="5"/>
      <c r="I1535" s="5"/>
      <c r="L1535" s="5"/>
      <c r="M1535" s="5"/>
      <c r="N1535" s="5"/>
      <c r="P1535" s="5"/>
      <c r="Q1535" s="5"/>
      <c r="R1535" s="5"/>
      <c r="S1535" s="5"/>
      <c r="U1535" s="5"/>
      <c r="W1535" s="5"/>
    </row>
    <row r="1536" spans="3:23" x14ac:dyDescent="0.2">
      <c r="C1536" s="5"/>
      <c r="I1536" s="5"/>
      <c r="L1536" s="5"/>
      <c r="M1536" s="5"/>
      <c r="N1536" s="5"/>
      <c r="P1536" s="5"/>
      <c r="Q1536" s="5"/>
      <c r="R1536" s="5"/>
      <c r="S1536" s="5"/>
      <c r="U1536" s="5"/>
      <c r="W1536" s="5"/>
    </row>
    <row r="1537" spans="3:23" x14ac:dyDescent="0.2">
      <c r="C1537" s="5"/>
      <c r="I1537" s="5"/>
      <c r="L1537" s="5"/>
      <c r="M1537" s="5"/>
      <c r="N1537" s="5"/>
      <c r="P1537" s="5"/>
      <c r="Q1537" s="5"/>
      <c r="R1537" s="5"/>
      <c r="S1537" s="5"/>
      <c r="U1537" s="5"/>
      <c r="W1537" s="5"/>
    </row>
    <row r="1538" spans="3:23" x14ac:dyDescent="0.2">
      <c r="C1538" s="5"/>
      <c r="I1538" s="5"/>
      <c r="L1538" s="5"/>
      <c r="M1538" s="5"/>
      <c r="N1538" s="5"/>
      <c r="P1538" s="5"/>
      <c r="Q1538" s="5"/>
      <c r="R1538" s="5"/>
      <c r="S1538" s="5"/>
      <c r="U1538" s="5"/>
      <c r="W1538" s="5"/>
    </row>
    <row r="1539" spans="3:23" x14ac:dyDescent="0.2">
      <c r="C1539" s="5"/>
      <c r="I1539" s="5"/>
      <c r="L1539" s="5"/>
      <c r="M1539" s="5"/>
      <c r="N1539" s="5"/>
      <c r="P1539" s="5"/>
      <c r="Q1539" s="5"/>
      <c r="R1539" s="5"/>
      <c r="S1539" s="5"/>
      <c r="U1539" s="5"/>
      <c r="W1539" s="5"/>
    </row>
    <row r="1540" spans="3:23" x14ac:dyDescent="0.2">
      <c r="C1540" s="5"/>
      <c r="I1540" s="5"/>
      <c r="L1540" s="5"/>
      <c r="M1540" s="5"/>
      <c r="N1540" s="5"/>
      <c r="P1540" s="5"/>
      <c r="Q1540" s="5"/>
      <c r="R1540" s="5"/>
      <c r="S1540" s="5"/>
      <c r="U1540" s="5"/>
      <c r="W1540" s="5"/>
    </row>
    <row r="1541" spans="3:23" x14ac:dyDescent="0.2">
      <c r="C1541" s="5"/>
      <c r="I1541" s="5"/>
      <c r="L1541" s="5"/>
      <c r="M1541" s="5"/>
      <c r="N1541" s="5"/>
      <c r="P1541" s="5"/>
      <c r="Q1541" s="5"/>
      <c r="R1541" s="5"/>
      <c r="S1541" s="5"/>
      <c r="U1541" s="5"/>
      <c r="W1541" s="5"/>
    </row>
    <row r="1542" spans="3:23" x14ac:dyDescent="0.2">
      <c r="C1542" s="5"/>
      <c r="I1542" s="5"/>
      <c r="L1542" s="5"/>
      <c r="M1542" s="5"/>
      <c r="N1542" s="5"/>
      <c r="P1542" s="5"/>
      <c r="Q1542" s="5"/>
      <c r="R1542" s="5"/>
      <c r="S1542" s="5"/>
      <c r="U1542" s="5"/>
      <c r="W1542" s="5"/>
    </row>
    <row r="1543" spans="3:23" x14ac:dyDescent="0.2">
      <c r="C1543" s="5"/>
      <c r="I1543" s="5"/>
      <c r="L1543" s="5"/>
      <c r="M1543" s="5"/>
      <c r="N1543" s="5"/>
      <c r="P1543" s="5"/>
      <c r="Q1543" s="5"/>
      <c r="R1543" s="5"/>
      <c r="S1543" s="5"/>
      <c r="U1543" s="5"/>
      <c r="W1543" s="5"/>
    </row>
    <row r="1544" spans="3:23" x14ac:dyDescent="0.2">
      <c r="C1544" s="5"/>
      <c r="I1544" s="5"/>
      <c r="L1544" s="5"/>
      <c r="M1544" s="5"/>
      <c r="N1544" s="5"/>
      <c r="P1544" s="5"/>
      <c r="Q1544" s="5"/>
      <c r="R1544" s="5"/>
      <c r="S1544" s="5"/>
      <c r="U1544" s="5"/>
      <c r="W1544" s="5"/>
    </row>
    <row r="1545" spans="3:23" x14ac:dyDescent="0.2">
      <c r="C1545" s="5"/>
      <c r="I1545" s="5"/>
      <c r="L1545" s="5"/>
      <c r="M1545" s="5"/>
      <c r="N1545" s="5"/>
      <c r="P1545" s="5"/>
      <c r="Q1545" s="5"/>
      <c r="R1545" s="5"/>
      <c r="S1545" s="5"/>
      <c r="U1545" s="5"/>
      <c r="W1545" s="5"/>
    </row>
    <row r="1546" spans="3:23" x14ac:dyDescent="0.2">
      <c r="C1546" s="5"/>
      <c r="I1546" s="5"/>
      <c r="L1546" s="5"/>
      <c r="M1546" s="5"/>
      <c r="N1546" s="5"/>
      <c r="P1546" s="5"/>
      <c r="Q1546" s="5"/>
      <c r="R1546" s="5"/>
      <c r="S1546" s="5"/>
      <c r="U1546" s="5"/>
      <c r="W1546" s="5"/>
    </row>
    <row r="1547" spans="3:23" x14ac:dyDescent="0.2">
      <c r="C1547" s="5"/>
      <c r="I1547" s="5"/>
      <c r="L1547" s="5"/>
      <c r="M1547" s="5"/>
      <c r="N1547" s="5"/>
      <c r="P1547" s="5"/>
      <c r="Q1547" s="5"/>
      <c r="R1547" s="5"/>
      <c r="S1547" s="5"/>
      <c r="U1547" s="5"/>
      <c r="W1547" s="5"/>
    </row>
    <row r="1548" spans="3:23" x14ac:dyDescent="0.2">
      <c r="C1548" s="5"/>
      <c r="I1548" s="5"/>
      <c r="L1548" s="5"/>
      <c r="M1548" s="5"/>
      <c r="N1548" s="5"/>
      <c r="P1548" s="5"/>
      <c r="Q1548" s="5"/>
      <c r="R1548" s="5"/>
      <c r="S1548" s="5"/>
      <c r="U1548" s="5"/>
      <c r="W1548" s="5"/>
    </row>
    <row r="1549" spans="3:23" x14ac:dyDescent="0.2">
      <c r="C1549" s="5"/>
      <c r="I1549" s="5"/>
      <c r="L1549" s="5"/>
      <c r="M1549" s="5"/>
      <c r="N1549" s="5"/>
      <c r="P1549" s="5"/>
      <c r="Q1549" s="5"/>
      <c r="R1549" s="5"/>
      <c r="S1549" s="5"/>
      <c r="U1549" s="5"/>
      <c r="W1549" s="5"/>
    </row>
    <row r="1550" spans="3:23" x14ac:dyDescent="0.2">
      <c r="C1550" s="5"/>
      <c r="I1550" s="5"/>
      <c r="L1550" s="5"/>
      <c r="M1550" s="5"/>
      <c r="N1550" s="5"/>
      <c r="P1550" s="5"/>
      <c r="Q1550" s="5"/>
      <c r="R1550" s="5"/>
      <c r="S1550" s="5"/>
      <c r="U1550" s="5"/>
      <c r="W1550" s="5"/>
    </row>
    <row r="1551" spans="3:23" x14ac:dyDescent="0.2">
      <c r="C1551" s="5"/>
      <c r="I1551" s="5"/>
      <c r="L1551" s="5"/>
      <c r="M1551" s="5"/>
      <c r="N1551" s="5"/>
      <c r="P1551" s="5"/>
      <c r="Q1551" s="5"/>
      <c r="R1551" s="5"/>
      <c r="S1551" s="5"/>
      <c r="U1551" s="5"/>
      <c r="W1551" s="5"/>
    </row>
    <row r="1552" spans="3:23" x14ac:dyDescent="0.2">
      <c r="C1552" s="5"/>
      <c r="I1552" s="5"/>
      <c r="L1552" s="5"/>
      <c r="M1552" s="5"/>
      <c r="N1552" s="5"/>
      <c r="P1552" s="5"/>
      <c r="Q1552" s="5"/>
      <c r="R1552" s="5"/>
      <c r="S1552" s="5"/>
      <c r="U1552" s="5"/>
      <c r="W1552" s="5"/>
    </row>
    <row r="1553" spans="3:23" x14ac:dyDescent="0.2">
      <c r="C1553" s="5"/>
      <c r="I1553" s="5"/>
      <c r="L1553" s="5"/>
      <c r="M1553" s="5"/>
      <c r="N1553" s="5"/>
      <c r="P1553" s="5"/>
      <c r="Q1553" s="5"/>
      <c r="R1553" s="5"/>
      <c r="S1553" s="5"/>
      <c r="U1553" s="5"/>
      <c r="W1553" s="5"/>
    </row>
    <row r="1554" spans="3:23" x14ac:dyDescent="0.2">
      <c r="C1554" s="5"/>
      <c r="I1554" s="5"/>
      <c r="L1554" s="5"/>
      <c r="M1554" s="5"/>
      <c r="N1554" s="5"/>
      <c r="P1554" s="5"/>
      <c r="Q1554" s="5"/>
      <c r="R1554" s="5"/>
      <c r="S1554" s="5"/>
      <c r="U1554" s="5"/>
      <c r="W1554" s="5"/>
    </row>
    <row r="1555" spans="3:23" x14ac:dyDescent="0.2">
      <c r="C1555" s="5"/>
      <c r="I1555" s="5"/>
      <c r="L1555" s="5"/>
      <c r="M1555" s="5"/>
      <c r="N1555" s="5"/>
      <c r="P1555" s="5"/>
      <c r="Q1555" s="5"/>
      <c r="R1555" s="5"/>
      <c r="S1555" s="5"/>
      <c r="U1555" s="5"/>
      <c r="W1555" s="5"/>
    </row>
    <row r="1556" spans="3:23" x14ac:dyDescent="0.2">
      <c r="C1556" s="5"/>
      <c r="I1556" s="5"/>
      <c r="L1556" s="5"/>
      <c r="M1556" s="5"/>
      <c r="N1556" s="5"/>
      <c r="P1556" s="5"/>
      <c r="Q1556" s="5"/>
      <c r="R1556" s="5"/>
      <c r="S1556" s="5"/>
      <c r="U1556" s="5"/>
      <c r="W1556" s="5"/>
    </row>
    <row r="1557" spans="3:23" x14ac:dyDescent="0.2">
      <c r="C1557" s="5"/>
      <c r="I1557" s="5"/>
      <c r="L1557" s="5"/>
      <c r="M1557" s="5"/>
      <c r="N1557" s="5"/>
      <c r="P1557" s="5"/>
      <c r="Q1557" s="5"/>
      <c r="R1557" s="5"/>
      <c r="S1557" s="5"/>
      <c r="U1557" s="5"/>
      <c r="W1557" s="5"/>
    </row>
    <row r="1558" spans="3:23" x14ac:dyDescent="0.2">
      <c r="C1558" s="5"/>
      <c r="I1558" s="5"/>
      <c r="L1558" s="5"/>
      <c r="M1558" s="5"/>
      <c r="N1558" s="5"/>
      <c r="P1558" s="5"/>
      <c r="Q1558" s="5"/>
      <c r="R1558" s="5"/>
      <c r="S1558" s="5"/>
      <c r="U1558" s="5"/>
      <c r="W1558" s="5"/>
    </row>
    <row r="1559" spans="3:23" x14ac:dyDescent="0.2">
      <c r="C1559" s="5"/>
      <c r="I1559" s="5"/>
      <c r="L1559" s="5"/>
      <c r="M1559" s="5"/>
      <c r="N1559" s="5"/>
      <c r="P1559" s="5"/>
      <c r="Q1559" s="5"/>
      <c r="R1559" s="5"/>
      <c r="S1559" s="5"/>
      <c r="U1559" s="5"/>
      <c r="W1559" s="5"/>
    </row>
    <row r="1560" spans="3:23" x14ac:dyDescent="0.2">
      <c r="C1560" s="5"/>
      <c r="I1560" s="5"/>
      <c r="L1560" s="5"/>
      <c r="M1560" s="5"/>
      <c r="N1560" s="5"/>
      <c r="P1560" s="5"/>
      <c r="Q1560" s="5"/>
      <c r="R1560" s="5"/>
      <c r="S1560" s="5"/>
      <c r="U1560" s="5"/>
      <c r="W1560" s="5"/>
    </row>
    <row r="1561" spans="3:23" x14ac:dyDescent="0.2">
      <c r="C1561" s="5"/>
      <c r="I1561" s="5"/>
      <c r="L1561" s="5"/>
      <c r="M1561" s="5"/>
      <c r="N1561" s="5"/>
      <c r="P1561" s="5"/>
      <c r="Q1561" s="5"/>
      <c r="R1561" s="5"/>
      <c r="S1561" s="5"/>
      <c r="U1561" s="5"/>
      <c r="W1561" s="5"/>
    </row>
    <row r="1562" spans="3:23" x14ac:dyDescent="0.2">
      <c r="C1562" s="5"/>
      <c r="I1562" s="5"/>
      <c r="L1562" s="5"/>
      <c r="M1562" s="5"/>
      <c r="N1562" s="5"/>
      <c r="P1562" s="5"/>
      <c r="Q1562" s="5"/>
      <c r="R1562" s="5"/>
      <c r="S1562" s="5"/>
      <c r="U1562" s="5"/>
      <c r="W1562" s="5"/>
    </row>
    <row r="1563" spans="3:23" x14ac:dyDescent="0.2">
      <c r="C1563" s="5"/>
      <c r="I1563" s="5"/>
      <c r="L1563" s="5"/>
      <c r="M1563" s="5"/>
      <c r="N1563" s="5"/>
      <c r="P1563" s="5"/>
      <c r="Q1563" s="5"/>
      <c r="R1563" s="5"/>
      <c r="S1563" s="5"/>
      <c r="U1563" s="5"/>
      <c r="W1563" s="5"/>
    </row>
    <row r="1564" spans="3:23" x14ac:dyDescent="0.2">
      <c r="C1564" s="5"/>
      <c r="I1564" s="5"/>
      <c r="L1564" s="5"/>
      <c r="M1564" s="5"/>
      <c r="N1564" s="5"/>
      <c r="P1564" s="5"/>
      <c r="Q1564" s="5"/>
      <c r="R1564" s="5"/>
      <c r="S1564" s="5"/>
      <c r="U1564" s="5"/>
      <c r="W1564" s="5"/>
    </row>
    <row r="1565" spans="3:23" x14ac:dyDescent="0.2">
      <c r="C1565" s="5"/>
      <c r="I1565" s="5"/>
      <c r="L1565" s="5"/>
      <c r="M1565" s="5"/>
      <c r="N1565" s="5"/>
      <c r="P1565" s="5"/>
      <c r="Q1565" s="5"/>
      <c r="R1565" s="5"/>
      <c r="S1565" s="5"/>
      <c r="U1565" s="5"/>
      <c r="W1565" s="5"/>
    </row>
    <row r="1566" spans="3:23" x14ac:dyDescent="0.2">
      <c r="C1566" s="5"/>
      <c r="I1566" s="5"/>
      <c r="L1566" s="5"/>
      <c r="M1566" s="5"/>
      <c r="N1566" s="5"/>
      <c r="P1566" s="5"/>
      <c r="Q1566" s="5"/>
      <c r="R1566" s="5"/>
      <c r="S1566" s="5"/>
      <c r="U1566" s="5"/>
      <c r="W1566" s="5"/>
    </row>
    <row r="1567" spans="3:23" x14ac:dyDescent="0.2">
      <c r="C1567" s="5"/>
      <c r="I1567" s="5"/>
      <c r="L1567" s="5"/>
      <c r="M1567" s="5"/>
      <c r="N1567" s="5"/>
      <c r="P1567" s="5"/>
      <c r="Q1567" s="5"/>
      <c r="R1567" s="5"/>
      <c r="S1567" s="5"/>
      <c r="U1567" s="5"/>
      <c r="W1567" s="5"/>
    </row>
    <row r="1568" spans="3:23" x14ac:dyDescent="0.2">
      <c r="C1568" s="5"/>
      <c r="I1568" s="5"/>
      <c r="L1568" s="5"/>
      <c r="M1568" s="5"/>
      <c r="N1568" s="5"/>
      <c r="P1568" s="5"/>
      <c r="Q1568" s="5"/>
      <c r="R1568" s="5"/>
      <c r="S1568" s="5"/>
      <c r="U1568" s="5"/>
      <c r="W1568" s="5"/>
    </row>
    <row r="1569" spans="3:23" x14ac:dyDescent="0.2">
      <c r="C1569" s="5"/>
      <c r="I1569" s="5"/>
      <c r="L1569" s="5"/>
      <c r="M1569" s="5"/>
      <c r="N1569" s="5"/>
      <c r="P1569" s="5"/>
      <c r="Q1569" s="5"/>
      <c r="R1569" s="5"/>
      <c r="S1569" s="5"/>
      <c r="U1569" s="5"/>
      <c r="W1569" s="5"/>
    </row>
    <row r="1570" spans="3:23" x14ac:dyDescent="0.2">
      <c r="C1570" s="5"/>
      <c r="I1570" s="5"/>
      <c r="L1570" s="5"/>
      <c r="M1570" s="5"/>
      <c r="N1570" s="5"/>
      <c r="P1570" s="5"/>
      <c r="Q1570" s="5"/>
      <c r="R1570" s="5"/>
      <c r="S1570" s="5"/>
      <c r="U1570" s="5"/>
      <c r="W1570" s="5"/>
    </row>
    <row r="1571" spans="3:23" x14ac:dyDescent="0.2">
      <c r="C1571" s="5"/>
      <c r="I1571" s="5"/>
      <c r="L1571" s="5"/>
      <c r="M1571" s="5"/>
      <c r="N1571" s="5"/>
      <c r="P1571" s="5"/>
      <c r="Q1571" s="5"/>
      <c r="R1571" s="5"/>
      <c r="S1571" s="5"/>
      <c r="U1571" s="5"/>
      <c r="W1571" s="5"/>
    </row>
    <row r="1572" spans="3:23" x14ac:dyDescent="0.2">
      <c r="C1572" s="5"/>
      <c r="I1572" s="5"/>
      <c r="L1572" s="5"/>
      <c r="M1572" s="5"/>
      <c r="N1572" s="5"/>
      <c r="P1572" s="5"/>
      <c r="Q1572" s="5"/>
      <c r="R1572" s="5"/>
      <c r="S1572" s="5"/>
      <c r="U1572" s="5"/>
      <c r="W1572" s="5"/>
    </row>
    <row r="1573" spans="3:23" x14ac:dyDescent="0.2">
      <c r="C1573" s="5"/>
      <c r="I1573" s="5"/>
      <c r="L1573" s="5"/>
      <c r="M1573" s="5"/>
      <c r="N1573" s="5"/>
      <c r="P1573" s="5"/>
      <c r="Q1573" s="5"/>
      <c r="R1573" s="5"/>
      <c r="S1573" s="5"/>
      <c r="U1573" s="5"/>
      <c r="W1573" s="5"/>
    </row>
    <row r="1574" spans="3:23" x14ac:dyDescent="0.2">
      <c r="C1574" s="5"/>
      <c r="I1574" s="5"/>
      <c r="L1574" s="5"/>
      <c r="M1574" s="5"/>
      <c r="N1574" s="5"/>
      <c r="P1574" s="5"/>
      <c r="Q1574" s="5"/>
      <c r="R1574" s="5"/>
      <c r="S1574" s="5"/>
      <c r="U1574" s="5"/>
      <c r="W1574" s="5"/>
    </row>
    <row r="1575" spans="3:23" x14ac:dyDescent="0.2">
      <c r="C1575" s="5"/>
      <c r="I1575" s="5"/>
      <c r="L1575" s="5"/>
      <c r="M1575" s="5"/>
      <c r="N1575" s="5"/>
      <c r="P1575" s="5"/>
      <c r="Q1575" s="5"/>
      <c r="R1575" s="5"/>
      <c r="S1575" s="5"/>
      <c r="U1575" s="5"/>
      <c r="W1575" s="5"/>
    </row>
    <row r="1576" spans="3:23" x14ac:dyDescent="0.2">
      <c r="C1576" s="5"/>
      <c r="I1576" s="5"/>
      <c r="L1576" s="5"/>
      <c r="M1576" s="5"/>
      <c r="N1576" s="5"/>
      <c r="P1576" s="5"/>
      <c r="Q1576" s="5"/>
      <c r="R1576" s="5"/>
      <c r="S1576" s="5"/>
      <c r="U1576" s="5"/>
      <c r="W1576" s="5"/>
    </row>
    <row r="1577" spans="3:23" x14ac:dyDescent="0.2">
      <c r="C1577" s="5"/>
      <c r="I1577" s="5"/>
      <c r="L1577" s="5"/>
      <c r="M1577" s="5"/>
      <c r="N1577" s="5"/>
      <c r="P1577" s="5"/>
      <c r="Q1577" s="5"/>
      <c r="R1577" s="5"/>
      <c r="S1577" s="5"/>
      <c r="U1577" s="5"/>
      <c r="W1577" s="5"/>
    </row>
    <row r="1578" spans="3:23" x14ac:dyDescent="0.2">
      <c r="C1578" s="5"/>
      <c r="I1578" s="5"/>
      <c r="L1578" s="5"/>
      <c r="M1578" s="5"/>
      <c r="N1578" s="5"/>
      <c r="P1578" s="5"/>
      <c r="Q1578" s="5"/>
      <c r="R1578" s="5"/>
      <c r="S1578" s="5"/>
      <c r="U1578" s="5"/>
      <c r="W1578" s="5"/>
    </row>
    <row r="1579" spans="3:23" x14ac:dyDescent="0.2">
      <c r="C1579" s="5"/>
      <c r="I1579" s="5"/>
      <c r="L1579" s="5"/>
      <c r="M1579" s="5"/>
      <c r="N1579" s="5"/>
      <c r="P1579" s="5"/>
      <c r="Q1579" s="5"/>
      <c r="R1579" s="5"/>
      <c r="S1579" s="5"/>
      <c r="U1579" s="5"/>
      <c r="W1579" s="5"/>
    </row>
    <row r="1580" spans="3:23" x14ac:dyDescent="0.2">
      <c r="C1580" s="5"/>
      <c r="I1580" s="5"/>
      <c r="L1580" s="5"/>
      <c r="M1580" s="5"/>
      <c r="N1580" s="5"/>
      <c r="P1580" s="5"/>
      <c r="Q1580" s="5"/>
      <c r="R1580" s="5"/>
      <c r="S1580" s="5"/>
      <c r="U1580" s="5"/>
      <c r="W1580" s="5"/>
    </row>
    <row r="1581" spans="3:23" x14ac:dyDescent="0.2">
      <c r="C1581" s="5"/>
      <c r="I1581" s="5"/>
      <c r="L1581" s="5"/>
      <c r="M1581" s="5"/>
      <c r="N1581" s="5"/>
      <c r="P1581" s="5"/>
      <c r="Q1581" s="5"/>
      <c r="R1581" s="5"/>
      <c r="S1581" s="5"/>
      <c r="U1581" s="5"/>
      <c r="W1581" s="5"/>
    </row>
    <row r="1582" spans="3:23" x14ac:dyDescent="0.2">
      <c r="C1582" s="5"/>
      <c r="I1582" s="5"/>
      <c r="L1582" s="5"/>
      <c r="M1582" s="5"/>
      <c r="N1582" s="5"/>
      <c r="P1582" s="5"/>
      <c r="Q1582" s="5"/>
      <c r="R1582" s="5"/>
      <c r="S1582" s="5"/>
      <c r="U1582" s="5"/>
      <c r="W1582" s="5"/>
    </row>
    <row r="1583" spans="3:23" x14ac:dyDescent="0.2">
      <c r="C1583" s="5"/>
      <c r="I1583" s="5"/>
      <c r="L1583" s="5"/>
      <c r="M1583" s="5"/>
      <c r="N1583" s="5"/>
      <c r="P1583" s="5"/>
      <c r="Q1583" s="5"/>
      <c r="R1583" s="5"/>
      <c r="S1583" s="5"/>
      <c r="U1583" s="5"/>
      <c r="W1583" s="5"/>
    </row>
    <row r="1584" spans="3:23" x14ac:dyDescent="0.2">
      <c r="C1584" s="5"/>
      <c r="I1584" s="5"/>
      <c r="L1584" s="5"/>
      <c r="M1584" s="5"/>
      <c r="N1584" s="5"/>
      <c r="P1584" s="5"/>
      <c r="Q1584" s="5"/>
      <c r="R1584" s="5"/>
      <c r="S1584" s="5"/>
      <c r="U1584" s="5"/>
      <c r="W1584" s="5"/>
    </row>
    <row r="1585" spans="3:23" x14ac:dyDescent="0.2">
      <c r="C1585" s="5"/>
      <c r="I1585" s="5"/>
      <c r="L1585" s="5"/>
      <c r="M1585" s="5"/>
      <c r="N1585" s="5"/>
      <c r="P1585" s="5"/>
      <c r="Q1585" s="5"/>
      <c r="R1585" s="5"/>
      <c r="S1585" s="5"/>
      <c r="U1585" s="5"/>
      <c r="W1585" s="5"/>
    </row>
    <row r="1586" spans="3:23" x14ac:dyDescent="0.2">
      <c r="C1586" s="5"/>
      <c r="I1586" s="5"/>
      <c r="L1586" s="5"/>
      <c r="M1586" s="5"/>
      <c r="N1586" s="5"/>
      <c r="P1586" s="5"/>
      <c r="Q1586" s="5"/>
      <c r="R1586" s="5"/>
      <c r="S1586" s="5"/>
      <c r="U1586" s="5"/>
      <c r="W1586" s="5"/>
    </row>
    <row r="1587" spans="3:23" x14ac:dyDescent="0.2">
      <c r="C1587" s="5"/>
      <c r="I1587" s="5"/>
      <c r="L1587" s="5"/>
      <c r="M1587" s="5"/>
      <c r="N1587" s="5"/>
      <c r="P1587" s="5"/>
      <c r="Q1587" s="5"/>
      <c r="R1587" s="5"/>
      <c r="S1587" s="5"/>
      <c r="U1587" s="5"/>
      <c r="W1587" s="5"/>
    </row>
    <row r="1588" spans="3:23" x14ac:dyDescent="0.2">
      <c r="C1588" s="5"/>
      <c r="I1588" s="5"/>
      <c r="L1588" s="5"/>
      <c r="M1588" s="5"/>
      <c r="N1588" s="5"/>
      <c r="P1588" s="5"/>
      <c r="Q1588" s="5"/>
      <c r="R1588" s="5"/>
      <c r="S1588" s="5"/>
      <c r="U1588" s="5"/>
      <c r="W1588" s="5"/>
    </row>
    <row r="1589" spans="3:23" x14ac:dyDescent="0.2">
      <c r="C1589" s="5"/>
      <c r="I1589" s="5"/>
      <c r="L1589" s="5"/>
      <c r="M1589" s="5"/>
      <c r="N1589" s="5"/>
      <c r="P1589" s="5"/>
      <c r="Q1589" s="5"/>
      <c r="R1589" s="5"/>
      <c r="S1589" s="5"/>
      <c r="U1589" s="5"/>
      <c r="W1589" s="5"/>
    </row>
    <row r="1590" spans="3:23" x14ac:dyDescent="0.2">
      <c r="C1590" s="5"/>
      <c r="I1590" s="5"/>
      <c r="L1590" s="5"/>
      <c r="M1590" s="5"/>
      <c r="N1590" s="5"/>
      <c r="P1590" s="5"/>
      <c r="Q1590" s="5"/>
      <c r="R1590" s="5"/>
      <c r="S1590" s="5"/>
      <c r="U1590" s="5"/>
      <c r="W1590" s="5"/>
    </row>
    <row r="1591" spans="3:23" x14ac:dyDescent="0.2">
      <c r="C1591" s="5"/>
      <c r="I1591" s="5"/>
      <c r="L1591" s="5"/>
      <c r="M1591" s="5"/>
      <c r="N1591" s="5"/>
      <c r="P1591" s="5"/>
      <c r="Q1591" s="5"/>
      <c r="R1591" s="5"/>
      <c r="S1591" s="5"/>
      <c r="U1591" s="5"/>
      <c r="W1591" s="5"/>
    </row>
    <row r="1592" spans="3:23" x14ac:dyDescent="0.2">
      <c r="C1592" s="5"/>
      <c r="I1592" s="5"/>
      <c r="L1592" s="5"/>
      <c r="M1592" s="5"/>
      <c r="N1592" s="5"/>
      <c r="P1592" s="5"/>
      <c r="Q1592" s="5"/>
      <c r="R1592" s="5"/>
      <c r="S1592" s="5"/>
      <c r="U1592" s="5"/>
      <c r="W1592" s="5"/>
    </row>
    <row r="1593" spans="3:23" x14ac:dyDescent="0.2">
      <c r="C1593" s="5"/>
      <c r="I1593" s="5"/>
      <c r="L1593" s="5"/>
      <c r="M1593" s="5"/>
      <c r="N1593" s="5"/>
      <c r="P1593" s="5"/>
      <c r="Q1593" s="5"/>
      <c r="R1593" s="5"/>
      <c r="S1593" s="5"/>
      <c r="U1593" s="5"/>
      <c r="W1593" s="5"/>
    </row>
    <row r="1594" spans="3:23" x14ac:dyDescent="0.2">
      <c r="C1594" s="5"/>
      <c r="I1594" s="5"/>
      <c r="L1594" s="5"/>
      <c r="M1594" s="5"/>
      <c r="N1594" s="5"/>
      <c r="P1594" s="5"/>
      <c r="Q1594" s="5"/>
      <c r="R1594" s="5"/>
      <c r="S1594" s="5"/>
      <c r="U1594" s="5"/>
      <c r="W1594" s="5"/>
    </row>
    <row r="1595" spans="3:23" x14ac:dyDescent="0.2">
      <c r="C1595" s="5"/>
      <c r="I1595" s="5"/>
      <c r="L1595" s="5"/>
      <c r="M1595" s="5"/>
      <c r="N1595" s="5"/>
      <c r="P1595" s="5"/>
      <c r="Q1595" s="5"/>
      <c r="R1595" s="5"/>
      <c r="S1595" s="5"/>
      <c r="U1595" s="5"/>
      <c r="W1595" s="5"/>
    </row>
    <row r="1596" spans="3:23" x14ac:dyDescent="0.2">
      <c r="C1596" s="5"/>
      <c r="I1596" s="5"/>
      <c r="L1596" s="5"/>
      <c r="M1596" s="5"/>
      <c r="N1596" s="5"/>
      <c r="P1596" s="5"/>
      <c r="Q1596" s="5"/>
      <c r="R1596" s="5"/>
      <c r="S1596" s="5"/>
      <c r="U1596" s="5"/>
      <c r="W1596" s="5"/>
    </row>
    <row r="1597" spans="3:23" x14ac:dyDescent="0.2">
      <c r="C1597" s="5"/>
      <c r="I1597" s="5"/>
      <c r="L1597" s="5"/>
      <c r="M1597" s="5"/>
      <c r="N1597" s="5"/>
      <c r="P1597" s="5"/>
      <c r="Q1597" s="5"/>
      <c r="R1597" s="5"/>
      <c r="S1597" s="5"/>
      <c r="U1597" s="5"/>
      <c r="W1597" s="5"/>
    </row>
    <row r="1598" spans="3:23" x14ac:dyDescent="0.2">
      <c r="C1598" s="5"/>
      <c r="I1598" s="5"/>
      <c r="L1598" s="5"/>
      <c r="M1598" s="5"/>
      <c r="N1598" s="5"/>
      <c r="P1598" s="5"/>
      <c r="Q1598" s="5"/>
      <c r="R1598" s="5"/>
      <c r="S1598" s="5"/>
      <c r="U1598" s="5"/>
      <c r="W1598" s="5"/>
    </row>
    <row r="1599" spans="3:23" x14ac:dyDescent="0.2">
      <c r="C1599" s="5"/>
      <c r="I1599" s="5"/>
      <c r="L1599" s="5"/>
      <c r="M1599" s="5"/>
      <c r="N1599" s="5"/>
      <c r="P1599" s="5"/>
      <c r="Q1599" s="5"/>
      <c r="R1599" s="5"/>
      <c r="S1599" s="5"/>
      <c r="U1599" s="5"/>
      <c r="W1599" s="5"/>
    </row>
    <row r="1600" spans="3:23" x14ac:dyDescent="0.2">
      <c r="C1600" s="5"/>
      <c r="I1600" s="5"/>
      <c r="L1600" s="5"/>
      <c r="M1600" s="5"/>
      <c r="N1600" s="5"/>
      <c r="P1600" s="5"/>
      <c r="Q1600" s="5"/>
      <c r="R1600" s="5"/>
      <c r="S1600" s="5"/>
      <c r="U1600" s="5"/>
      <c r="W1600" s="5"/>
    </row>
    <row r="1601" spans="3:23" x14ac:dyDescent="0.2">
      <c r="C1601" s="5"/>
      <c r="I1601" s="5"/>
      <c r="L1601" s="5"/>
      <c r="M1601" s="5"/>
      <c r="N1601" s="5"/>
      <c r="P1601" s="5"/>
      <c r="Q1601" s="5"/>
      <c r="R1601" s="5"/>
      <c r="S1601" s="5"/>
      <c r="U1601" s="5"/>
      <c r="W1601" s="5"/>
    </row>
    <row r="1602" spans="3:23" x14ac:dyDescent="0.2">
      <c r="C1602" s="5"/>
      <c r="I1602" s="5"/>
      <c r="L1602" s="5"/>
      <c r="M1602" s="5"/>
      <c r="N1602" s="5"/>
      <c r="P1602" s="5"/>
      <c r="Q1602" s="5"/>
      <c r="R1602" s="5"/>
      <c r="S1602" s="5"/>
      <c r="U1602" s="5"/>
      <c r="W1602" s="5"/>
    </row>
    <row r="1603" spans="3:23" x14ac:dyDescent="0.2">
      <c r="C1603" s="5"/>
      <c r="I1603" s="5"/>
      <c r="L1603" s="5"/>
      <c r="M1603" s="5"/>
      <c r="N1603" s="5"/>
      <c r="P1603" s="5"/>
      <c r="Q1603" s="5"/>
      <c r="R1603" s="5"/>
      <c r="S1603" s="5"/>
      <c r="U1603" s="5"/>
      <c r="W1603" s="5"/>
    </row>
    <row r="1604" spans="3:23" x14ac:dyDescent="0.2">
      <c r="C1604" s="5"/>
      <c r="I1604" s="5"/>
      <c r="L1604" s="5"/>
      <c r="M1604" s="5"/>
      <c r="N1604" s="5"/>
      <c r="P1604" s="5"/>
      <c r="Q1604" s="5"/>
      <c r="R1604" s="5"/>
      <c r="S1604" s="5"/>
      <c r="U1604" s="5"/>
      <c r="W1604" s="5"/>
    </row>
    <row r="1605" spans="3:23" x14ac:dyDescent="0.2">
      <c r="C1605" s="5"/>
      <c r="I1605" s="5"/>
      <c r="L1605" s="5"/>
      <c r="M1605" s="5"/>
      <c r="N1605" s="5"/>
      <c r="P1605" s="5"/>
      <c r="Q1605" s="5"/>
      <c r="R1605" s="5"/>
      <c r="S1605" s="5"/>
      <c r="U1605" s="5"/>
      <c r="W1605" s="5"/>
    </row>
    <row r="1606" spans="3:23" x14ac:dyDescent="0.2">
      <c r="C1606" s="5"/>
      <c r="I1606" s="5"/>
      <c r="L1606" s="5"/>
      <c r="M1606" s="5"/>
      <c r="N1606" s="5"/>
      <c r="P1606" s="5"/>
      <c r="Q1606" s="5"/>
      <c r="R1606" s="5"/>
      <c r="S1606" s="5"/>
      <c r="U1606" s="5"/>
      <c r="W1606" s="5"/>
    </row>
    <row r="1607" spans="3:23" x14ac:dyDescent="0.2">
      <c r="C1607" s="5"/>
      <c r="I1607" s="5"/>
      <c r="L1607" s="5"/>
      <c r="M1607" s="5"/>
      <c r="N1607" s="5"/>
      <c r="P1607" s="5"/>
      <c r="Q1607" s="5"/>
      <c r="R1607" s="5"/>
      <c r="S1607" s="5"/>
      <c r="U1607" s="5"/>
      <c r="W1607" s="5"/>
    </row>
    <row r="1608" spans="3:23" x14ac:dyDescent="0.2">
      <c r="C1608" s="5"/>
      <c r="I1608" s="5"/>
      <c r="L1608" s="5"/>
      <c r="M1608" s="5"/>
      <c r="N1608" s="5"/>
      <c r="P1608" s="5"/>
      <c r="Q1608" s="5"/>
      <c r="R1608" s="5"/>
      <c r="S1608" s="5"/>
      <c r="U1608" s="5"/>
      <c r="W1608" s="5"/>
    </row>
    <row r="1609" spans="3:23" x14ac:dyDescent="0.2">
      <c r="C1609" s="5"/>
      <c r="I1609" s="5"/>
      <c r="L1609" s="5"/>
      <c r="M1609" s="5"/>
      <c r="N1609" s="5"/>
      <c r="P1609" s="5"/>
      <c r="Q1609" s="5"/>
      <c r="R1609" s="5"/>
      <c r="S1609" s="5"/>
      <c r="U1609" s="5"/>
      <c r="W1609" s="5"/>
    </row>
    <row r="1610" spans="3:23" x14ac:dyDescent="0.2">
      <c r="C1610" s="5"/>
      <c r="I1610" s="5"/>
      <c r="L1610" s="5"/>
      <c r="M1610" s="5"/>
      <c r="N1610" s="5"/>
      <c r="P1610" s="5"/>
      <c r="Q1610" s="5"/>
      <c r="R1610" s="5"/>
      <c r="S1610" s="5"/>
      <c r="U1610" s="5"/>
      <c r="W1610" s="5"/>
    </row>
    <row r="1611" spans="3:23" x14ac:dyDescent="0.2">
      <c r="C1611" s="5"/>
      <c r="I1611" s="5"/>
      <c r="L1611" s="5"/>
      <c r="M1611" s="5"/>
      <c r="N1611" s="5"/>
      <c r="P1611" s="5"/>
      <c r="Q1611" s="5"/>
      <c r="R1611" s="5"/>
      <c r="S1611" s="5"/>
      <c r="U1611" s="5"/>
      <c r="W1611" s="5"/>
    </row>
    <row r="1612" spans="3:23" x14ac:dyDescent="0.2">
      <c r="C1612" s="5"/>
      <c r="I1612" s="5"/>
      <c r="L1612" s="5"/>
      <c r="M1612" s="5"/>
      <c r="N1612" s="5"/>
      <c r="P1612" s="5"/>
      <c r="Q1612" s="5"/>
      <c r="R1612" s="5"/>
      <c r="S1612" s="5"/>
      <c r="U1612" s="5"/>
      <c r="W1612" s="5"/>
    </row>
    <row r="1613" spans="3:23" x14ac:dyDescent="0.2">
      <c r="C1613" s="5"/>
      <c r="I1613" s="5"/>
      <c r="L1613" s="5"/>
      <c r="M1613" s="5"/>
      <c r="N1613" s="5"/>
      <c r="P1613" s="5"/>
      <c r="Q1613" s="5"/>
      <c r="R1613" s="5"/>
      <c r="S1613" s="5"/>
      <c r="U1613" s="5"/>
      <c r="W1613" s="5"/>
    </row>
    <row r="1614" spans="3:23" x14ac:dyDescent="0.2">
      <c r="C1614" s="5"/>
      <c r="I1614" s="5"/>
      <c r="L1614" s="5"/>
      <c r="M1614" s="5"/>
      <c r="N1614" s="5"/>
      <c r="P1614" s="5"/>
      <c r="Q1614" s="5"/>
      <c r="R1614" s="5"/>
      <c r="S1614" s="5"/>
      <c r="U1614" s="5"/>
      <c r="W1614" s="5"/>
    </row>
    <row r="1615" spans="3:23" x14ac:dyDescent="0.2">
      <c r="C1615" s="5"/>
      <c r="I1615" s="5"/>
      <c r="L1615" s="5"/>
      <c r="M1615" s="5"/>
      <c r="N1615" s="5"/>
      <c r="P1615" s="5"/>
      <c r="Q1615" s="5"/>
      <c r="R1615" s="5"/>
      <c r="S1615" s="5"/>
      <c r="U1615" s="5"/>
      <c r="W1615" s="5"/>
    </row>
    <row r="1616" spans="3:23" x14ac:dyDescent="0.2">
      <c r="C1616" s="5"/>
      <c r="I1616" s="5"/>
      <c r="L1616" s="5"/>
      <c r="M1616" s="5"/>
      <c r="N1616" s="5"/>
      <c r="P1616" s="5"/>
      <c r="Q1616" s="5"/>
      <c r="R1616" s="5"/>
      <c r="S1616" s="5"/>
      <c r="U1616" s="5"/>
      <c r="W1616" s="5"/>
    </row>
    <row r="1617" spans="3:23" x14ac:dyDescent="0.2">
      <c r="C1617" s="5"/>
      <c r="I1617" s="5"/>
      <c r="L1617" s="5"/>
      <c r="M1617" s="5"/>
      <c r="N1617" s="5"/>
      <c r="P1617" s="5"/>
      <c r="Q1617" s="5"/>
      <c r="R1617" s="5"/>
      <c r="S1617" s="5"/>
      <c r="U1617" s="5"/>
      <c r="W1617" s="5"/>
    </row>
    <row r="1618" spans="3:23" x14ac:dyDescent="0.2">
      <c r="C1618" s="5"/>
      <c r="I1618" s="5"/>
      <c r="L1618" s="5"/>
      <c r="M1618" s="5"/>
      <c r="N1618" s="5"/>
      <c r="P1618" s="5"/>
      <c r="Q1618" s="5"/>
      <c r="R1618" s="5"/>
      <c r="S1618" s="5"/>
      <c r="U1618" s="5"/>
      <c r="W1618" s="5"/>
    </row>
    <row r="1619" spans="3:23" x14ac:dyDescent="0.2">
      <c r="C1619" s="5"/>
      <c r="I1619" s="5"/>
      <c r="L1619" s="5"/>
      <c r="M1619" s="5"/>
      <c r="N1619" s="5"/>
      <c r="P1619" s="5"/>
      <c r="Q1619" s="5"/>
      <c r="R1619" s="5"/>
      <c r="S1619" s="5"/>
      <c r="U1619" s="5"/>
      <c r="W1619" s="5"/>
    </row>
    <row r="1620" spans="3:23" x14ac:dyDescent="0.2">
      <c r="C1620" s="5"/>
      <c r="I1620" s="5"/>
      <c r="L1620" s="5"/>
      <c r="M1620" s="5"/>
      <c r="N1620" s="5"/>
      <c r="P1620" s="5"/>
      <c r="Q1620" s="5"/>
      <c r="R1620" s="5"/>
      <c r="S1620" s="5"/>
      <c r="U1620" s="5"/>
      <c r="W1620" s="5"/>
    </row>
    <row r="1621" spans="3:23" x14ac:dyDescent="0.2">
      <c r="C1621" s="5"/>
      <c r="I1621" s="5"/>
      <c r="L1621" s="5"/>
      <c r="M1621" s="5"/>
      <c r="N1621" s="5"/>
      <c r="P1621" s="5"/>
      <c r="Q1621" s="5"/>
      <c r="R1621" s="5"/>
      <c r="S1621" s="5"/>
      <c r="U1621" s="5"/>
      <c r="W1621" s="5"/>
    </row>
    <row r="1622" spans="3:23" x14ac:dyDescent="0.2">
      <c r="C1622" s="5"/>
      <c r="I1622" s="5"/>
      <c r="L1622" s="5"/>
      <c r="M1622" s="5"/>
      <c r="N1622" s="5"/>
      <c r="P1622" s="5"/>
      <c r="Q1622" s="5"/>
      <c r="R1622" s="5"/>
      <c r="S1622" s="5"/>
      <c r="U1622" s="5"/>
      <c r="W1622" s="5"/>
    </row>
    <row r="1623" spans="3:23" x14ac:dyDescent="0.2">
      <c r="C1623" s="5"/>
      <c r="I1623" s="5"/>
      <c r="L1623" s="5"/>
      <c r="M1623" s="5"/>
      <c r="N1623" s="5"/>
      <c r="P1623" s="5"/>
      <c r="Q1623" s="5"/>
      <c r="R1623" s="5"/>
      <c r="S1623" s="5"/>
      <c r="U1623" s="5"/>
      <c r="W1623" s="5"/>
    </row>
    <row r="1624" spans="3:23" x14ac:dyDescent="0.2">
      <c r="C1624" s="5"/>
      <c r="I1624" s="5"/>
      <c r="L1624" s="5"/>
      <c r="M1624" s="5"/>
      <c r="N1624" s="5"/>
      <c r="P1624" s="5"/>
      <c r="Q1624" s="5"/>
      <c r="R1624" s="5"/>
      <c r="S1624" s="5"/>
      <c r="U1624" s="5"/>
      <c r="W1624" s="5"/>
    </row>
    <row r="1625" spans="3:23" x14ac:dyDescent="0.2">
      <c r="C1625" s="5"/>
      <c r="I1625" s="5"/>
      <c r="L1625" s="5"/>
      <c r="M1625" s="5"/>
      <c r="N1625" s="5"/>
      <c r="P1625" s="5"/>
      <c r="Q1625" s="5"/>
      <c r="R1625" s="5"/>
      <c r="S1625" s="5"/>
      <c r="U1625" s="5"/>
      <c r="W1625" s="5"/>
    </row>
    <row r="1626" spans="3:23" x14ac:dyDescent="0.2">
      <c r="C1626" s="5"/>
      <c r="I1626" s="5"/>
      <c r="L1626" s="5"/>
      <c r="M1626" s="5"/>
      <c r="N1626" s="5"/>
      <c r="P1626" s="5"/>
      <c r="Q1626" s="5"/>
      <c r="R1626" s="5"/>
      <c r="S1626" s="5"/>
      <c r="U1626" s="5"/>
      <c r="W1626" s="5"/>
    </row>
    <row r="1627" spans="3:23" x14ac:dyDescent="0.2">
      <c r="C1627" s="5"/>
      <c r="I1627" s="5"/>
      <c r="L1627" s="5"/>
      <c r="M1627" s="5"/>
      <c r="N1627" s="5"/>
      <c r="P1627" s="5"/>
      <c r="Q1627" s="5"/>
      <c r="R1627" s="5"/>
      <c r="S1627" s="5"/>
      <c r="U1627" s="5"/>
      <c r="W1627" s="5"/>
    </row>
    <row r="1628" spans="3:23" x14ac:dyDescent="0.2">
      <c r="C1628" s="5"/>
      <c r="I1628" s="5"/>
      <c r="L1628" s="5"/>
      <c r="M1628" s="5"/>
      <c r="N1628" s="5"/>
      <c r="P1628" s="5"/>
      <c r="Q1628" s="5"/>
      <c r="R1628" s="5"/>
      <c r="S1628" s="5"/>
      <c r="U1628" s="5"/>
      <c r="W1628" s="5"/>
    </row>
    <row r="1629" spans="3:23" x14ac:dyDescent="0.2">
      <c r="C1629" s="5"/>
      <c r="I1629" s="5"/>
      <c r="L1629" s="5"/>
      <c r="M1629" s="5"/>
      <c r="N1629" s="5"/>
      <c r="P1629" s="5"/>
      <c r="Q1629" s="5"/>
      <c r="R1629" s="5"/>
      <c r="S1629" s="5"/>
      <c r="U1629" s="5"/>
      <c r="W1629" s="5"/>
    </row>
    <row r="1630" spans="3:23" x14ac:dyDescent="0.2">
      <c r="C1630" s="5"/>
      <c r="I1630" s="5"/>
      <c r="L1630" s="5"/>
      <c r="M1630" s="5"/>
      <c r="N1630" s="5"/>
      <c r="P1630" s="5"/>
      <c r="Q1630" s="5"/>
      <c r="R1630" s="5"/>
      <c r="S1630" s="5"/>
      <c r="U1630" s="5"/>
      <c r="W1630" s="5"/>
    </row>
    <row r="1631" spans="3:23" x14ac:dyDescent="0.2">
      <c r="C1631" s="5"/>
      <c r="I1631" s="5"/>
      <c r="L1631" s="5"/>
      <c r="M1631" s="5"/>
      <c r="N1631" s="5"/>
      <c r="P1631" s="5"/>
      <c r="Q1631" s="5"/>
      <c r="R1631" s="5"/>
      <c r="S1631" s="5"/>
      <c r="U1631" s="5"/>
      <c r="W1631" s="5"/>
    </row>
    <row r="1632" spans="3:23" x14ac:dyDescent="0.2">
      <c r="C1632" s="5"/>
      <c r="I1632" s="5"/>
      <c r="L1632" s="5"/>
      <c r="M1632" s="5"/>
      <c r="N1632" s="5"/>
      <c r="P1632" s="5"/>
      <c r="Q1632" s="5"/>
      <c r="R1632" s="5"/>
      <c r="S1632" s="5"/>
      <c r="U1632" s="5"/>
      <c r="W1632" s="5"/>
    </row>
    <row r="1633" spans="3:23" x14ac:dyDescent="0.2">
      <c r="C1633" s="5"/>
      <c r="I1633" s="5"/>
      <c r="L1633" s="5"/>
      <c r="M1633" s="5"/>
      <c r="N1633" s="5"/>
      <c r="P1633" s="5"/>
      <c r="Q1633" s="5"/>
      <c r="R1633" s="5"/>
      <c r="S1633" s="5"/>
      <c r="U1633" s="5"/>
      <c r="W1633" s="5"/>
    </row>
    <row r="1634" spans="3:23" x14ac:dyDescent="0.2">
      <c r="C1634" s="5"/>
      <c r="I1634" s="5"/>
      <c r="L1634" s="5"/>
      <c r="M1634" s="5"/>
      <c r="N1634" s="5"/>
      <c r="P1634" s="5"/>
      <c r="Q1634" s="5"/>
      <c r="R1634" s="5"/>
      <c r="S1634" s="5"/>
      <c r="U1634" s="5"/>
      <c r="W1634" s="5"/>
    </row>
    <row r="1635" spans="3:23" x14ac:dyDescent="0.2">
      <c r="C1635" s="5"/>
      <c r="I1635" s="5"/>
      <c r="L1635" s="5"/>
      <c r="M1635" s="5"/>
      <c r="N1635" s="5"/>
      <c r="P1635" s="5"/>
      <c r="Q1635" s="5"/>
      <c r="R1635" s="5"/>
      <c r="S1635" s="5"/>
      <c r="U1635" s="5"/>
      <c r="W1635" s="5"/>
    </row>
    <row r="1636" spans="3:23" x14ac:dyDescent="0.2">
      <c r="C1636" s="5"/>
      <c r="I1636" s="5"/>
      <c r="L1636" s="5"/>
      <c r="M1636" s="5"/>
      <c r="N1636" s="5"/>
      <c r="P1636" s="5"/>
      <c r="Q1636" s="5"/>
      <c r="R1636" s="5"/>
      <c r="S1636" s="5"/>
      <c r="U1636" s="5"/>
      <c r="W1636" s="5"/>
    </row>
    <row r="1637" spans="3:23" x14ac:dyDescent="0.2">
      <c r="C1637" s="5"/>
      <c r="I1637" s="5"/>
      <c r="L1637" s="5"/>
      <c r="M1637" s="5"/>
      <c r="N1637" s="5"/>
      <c r="P1637" s="5"/>
      <c r="Q1637" s="5"/>
      <c r="R1637" s="5"/>
      <c r="S1637" s="5"/>
      <c r="U1637" s="5"/>
      <c r="W1637" s="5"/>
    </row>
    <row r="1638" spans="3:23" x14ac:dyDescent="0.2">
      <c r="C1638" s="5"/>
      <c r="I1638" s="5"/>
      <c r="L1638" s="5"/>
      <c r="M1638" s="5"/>
      <c r="N1638" s="5"/>
      <c r="P1638" s="5"/>
      <c r="Q1638" s="5"/>
      <c r="R1638" s="5"/>
      <c r="S1638" s="5"/>
      <c r="U1638" s="5"/>
      <c r="W1638" s="5"/>
    </row>
    <row r="1639" spans="3:23" x14ac:dyDescent="0.2">
      <c r="C1639" s="5"/>
      <c r="I1639" s="5"/>
      <c r="L1639" s="5"/>
      <c r="M1639" s="5"/>
      <c r="N1639" s="5"/>
      <c r="P1639" s="5"/>
      <c r="Q1639" s="5"/>
      <c r="R1639" s="5"/>
      <c r="S1639" s="5"/>
      <c r="U1639" s="5"/>
      <c r="W1639" s="5"/>
    </row>
    <row r="1640" spans="3:23" x14ac:dyDescent="0.2">
      <c r="C1640" s="5"/>
      <c r="I1640" s="5"/>
      <c r="L1640" s="5"/>
      <c r="M1640" s="5"/>
      <c r="N1640" s="5"/>
      <c r="P1640" s="5"/>
      <c r="Q1640" s="5"/>
      <c r="R1640" s="5"/>
      <c r="S1640" s="5"/>
      <c r="U1640" s="5"/>
      <c r="W1640" s="5"/>
    </row>
    <row r="1641" spans="3:23" x14ac:dyDescent="0.2">
      <c r="C1641" s="5"/>
      <c r="I1641" s="5"/>
      <c r="L1641" s="5"/>
      <c r="M1641" s="5"/>
      <c r="N1641" s="5"/>
      <c r="P1641" s="5"/>
      <c r="Q1641" s="5"/>
      <c r="R1641" s="5"/>
      <c r="S1641" s="5"/>
      <c r="U1641" s="5"/>
      <c r="W1641" s="5"/>
    </row>
    <row r="1642" spans="3:23" x14ac:dyDescent="0.2">
      <c r="C1642" s="5"/>
      <c r="I1642" s="5"/>
      <c r="L1642" s="5"/>
      <c r="M1642" s="5"/>
      <c r="N1642" s="5"/>
      <c r="P1642" s="5"/>
      <c r="Q1642" s="5"/>
      <c r="R1642" s="5"/>
      <c r="S1642" s="5"/>
      <c r="U1642" s="5"/>
      <c r="W1642" s="5"/>
    </row>
    <row r="1643" spans="3:23" x14ac:dyDescent="0.2">
      <c r="C1643" s="5"/>
      <c r="I1643" s="5"/>
      <c r="L1643" s="5"/>
      <c r="M1643" s="5"/>
      <c r="N1643" s="5"/>
      <c r="P1643" s="5"/>
      <c r="Q1643" s="5"/>
      <c r="R1643" s="5"/>
      <c r="S1643" s="5"/>
      <c r="U1643" s="5"/>
      <c r="W1643" s="5"/>
    </row>
    <row r="1644" spans="3:23" x14ac:dyDescent="0.2">
      <c r="C1644" s="5"/>
      <c r="I1644" s="5"/>
      <c r="L1644" s="5"/>
      <c r="M1644" s="5"/>
      <c r="N1644" s="5"/>
      <c r="P1644" s="5"/>
      <c r="Q1644" s="5"/>
      <c r="R1644" s="5"/>
      <c r="S1644" s="5"/>
      <c r="U1644" s="5"/>
      <c r="W1644" s="5"/>
    </row>
    <row r="1645" spans="3:23" x14ac:dyDescent="0.2">
      <c r="C1645" s="5"/>
      <c r="I1645" s="5"/>
      <c r="L1645" s="5"/>
      <c r="M1645" s="5"/>
      <c r="N1645" s="5"/>
      <c r="P1645" s="5"/>
      <c r="Q1645" s="5"/>
      <c r="R1645" s="5"/>
      <c r="S1645" s="5"/>
      <c r="U1645" s="5"/>
      <c r="W1645" s="5"/>
    </row>
    <row r="1646" spans="3:23" x14ac:dyDescent="0.2">
      <c r="C1646" s="5"/>
      <c r="I1646" s="5"/>
      <c r="L1646" s="5"/>
      <c r="M1646" s="5"/>
      <c r="N1646" s="5"/>
      <c r="P1646" s="5"/>
      <c r="Q1646" s="5"/>
      <c r="R1646" s="5"/>
      <c r="S1646" s="5"/>
      <c r="U1646" s="5"/>
      <c r="W1646" s="5"/>
    </row>
    <row r="1647" spans="3:23" x14ac:dyDescent="0.2">
      <c r="C1647" s="5"/>
      <c r="I1647" s="5"/>
      <c r="L1647" s="5"/>
      <c r="M1647" s="5"/>
      <c r="N1647" s="5"/>
      <c r="P1647" s="5"/>
      <c r="Q1647" s="5"/>
      <c r="R1647" s="5"/>
      <c r="S1647" s="5"/>
      <c r="U1647" s="5"/>
      <c r="W1647" s="5"/>
    </row>
    <row r="1648" spans="3:23" x14ac:dyDescent="0.2">
      <c r="C1648" s="5"/>
      <c r="I1648" s="5"/>
      <c r="L1648" s="5"/>
      <c r="M1648" s="5"/>
      <c r="N1648" s="5"/>
      <c r="P1648" s="5"/>
      <c r="Q1648" s="5"/>
      <c r="R1648" s="5"/>
      <c r="S1648" s="5"/>
      <c r="U1648" s="5"/>
      <c r="W1648" s="5"/>
    </row>
    <row r="1649" spans="3:23" x14ac:dyDescent="0.2">
      <c r="C1649" s="5"/>
      <c r="I1649" s="5"/>
      <c r="L1649" s="5"/>
      <c r="M1649" s="5"/>
      <c r="N1649" s="5"/>
      <c r="P1649" s="5"/>
      <c r="Q1649" s="5"/>
      <c r="R1649" s="5"/>
      <c r="S1649" s="5"/>
      <c r="U1649" s="5"/>
      <c r="W1649" s="5"/>
    </row>
    <row r="1650" spans="3:23" x14ac:dyDescent="0.2">
      <c r="C1650" s="5"/>
      <c r="I1650" s="5"/>
      <c r="L1650" s="5"/>
      <c r="M1650" s="5"/>
      <c r="N1650" s="5"/>
      <c r="P1650" s="5"/>
      <c r="Q1650" s="5"/>
      <c r="R1650" s="5"/>
      <c r="S1650" s="5"/>
      <c r="U1650" s="5"/>
      <c r="W1650" s="5"/>
    </row>
    <row r="1651" spans="3:23" x14ac:dyDescent="0.2">
      <c r="C1651" s="5"/>
      <c r="I1651" s="5"/>
      <c r="L1651" s="5"/>
      <c r="M1651" s="5"/>
      <c r="N1651" s="5"/>
      <c r="P1651" s="5"/>
      <c r="Q1651" s="5"/>
      <c r="R1651" s="5"/>
      <c r="S1651" s="5"/>
      <c r="U1651" s="5"/>
      <c r="W1651" s="5"/>
    </row>
    <row r="1652" spans="3:23" x14ac:dyDescent="0.2">
      <c r="C1652" s="5"/>
      <c r="I1652" s="5"/>
      <c r="L1652" s="5"/>
      <c r="M1652" s="5"/>
      <c r="N1652" s="5"/>
      <c r="P1652" s="5"/>
      <c r="Q1652" s="5"/>
      <c r="R1652" s="5"/>
      <c r="S1652" s="5"/>
      <c r="U1652" s="5"/>
      <c r="W1652" s="5"/>
    </row>
    <row r="1653" spans="3:23" x14ac:dyDescent="0.2">
      <c r="C1653" s="5"/>
      <c r="I1653" s="5"/>
      <c r="L1653" s="5"/>
      <c r="M1653" s="5"/>
      <c r="N1653" s="5"/>
      <c r="P1653" s="5"/>
      <c r="Q1653" s="5"/>
      <c r="R1653" s="5"/>
      <c r="S1653" s="5"/>
      <c r="U1653" s="5"/>
      <c r="W1653" s="5"/>
    </row>
    <row r="1654" spans="3:23" x14ac:dyDescent="0.2">
      <c r="C1654" s="5"/>
      <c r="I1654" s="5"/>
      <c r="L1654" s="5"/>
      <c r="M1654" s="5"/>
      <c r="N1654" s="5"/>
      <c r="P1654" s="5"/>
      <c r="Q1654" s="5"/>
      <c r="R1654" s="5"/>
      <c r="S1654" s="5"/>
      <c r="U1654" s="5"/>
      <c r="W1654" s="5"/>
    </row>
    <row r="1655" spans="3:23" x14ac:dyDescent="0.2">
      <c r="C1655" s="5"/>
      <c r="I1655" s="5"/>
      <c r="L1655" s="5"/>
      <c r="M1655" s="5"/>
      <c r="N1655" s="5"/>
      <c r="P1655" s="5"/>
      <c r="Q1655" s="5"/>
      <c r="R1655" s="5"/>
      <c r="S1655" s="5"/>
      <c r="U1655" s="5"/>
      <c r="W1655" s="5"/>
    </row>
    <row r="1656" spans="3:23" x14ac:dyDescent="0.2">
      <c r="C1656" s="5"/>
      <c r="I1656" s="5"/>
      <c r="L1656" s="5"/>
      <c r="M1656" s="5"/>
      <c r="N1656" s="5"/>
      <c r="P1656" s="5"/>
      <c r="Q1656" s="5"/>
      <c r="R1656" s="5"/>
      <c r="S1656" s="5"/>
      <c r="U1656" s="5"/>
      <c r="W1656" s="5"/>
    </row>
    <row r="1657" spans="3:23" x14ac:dyDescent="0.2">
      <c r="C1657" s="5"/>
      <c r="I1657" s="5"/>
      <c r="L1657" s="5"/>
      <c r="M1657" s="5"/>
      <c r="N1657" s="5"/>
      <c r="P1657" s="5"/>
      <c r="Q1657" s="5"/>
      <c r="R1657" s="5"/>
      <c r="S1657" s="5"/>
      <c r="U1657" s="5"/>
      <c r="W1657" s="5"/>
    </row>
    <row r="1658" spans="3:23" x14ac:dyDescent="0.2">
      <c r="C1658" s="5"/>
      <c r="I1658" s="5"/>
      <c r="L1658" s="5"/>
      <c r="M1658" s="5"/>
      <c r="N1658" s="5"/>
      <c r="P1658" s="5"/>
      <c r="Q1658" s="5"/>
      <c r="R1658" s="5"/>
      <c r="S1658" s="5"/>
      <c r="U1658" s="5"/>
      <c r="W1658" s="5"/>
    </row>
    <row r="1659" spans="3:23" x14ac:dyDescent="0.2">
      <c r="C1659" s="5"/>
      <c r="I1659" s="5"/>
      <c r="L1659" s="5"/>
      <c r="M1659" s="5"/>
      <c r="N1659" s="5"/>
      <c r="P1659" s="5"/>
      <c r="Q1659" s="5"/>
      <c r="R1659" s="5"/>
      <c r="S1659" s="5"/>
      <c r="U1659" s="5"/>
      <c r="W1659" s="5"/>
    </row>
    <row r="1660" spans="3:23" x14ac:dyDescent="0.2">
      <c r="C1660" s="5"/>
      <c r="I1660" s="5"/>
      <c r="L1660" s="5"/>
      <c r="M1660" s="5"/>
      <c r="N1660" s="5"/>
      <c r="P1660" s="5"/>
      <c r="Q1660" s="5"/>
      <c r="R1660" s="5"/>
      <c r="S1660" s="5"/>
      <c r="U1660" s="5"/>
      <c r="W1660" s="5"/>
    </row>
    <row r="1661" spans="3:23" x14ac:dyDescent="0.2">
      <c r="C1661" s="5"/>
      <c r="I1661" s="5"/>
      <c r="L1661" s="5"/>
      <c r="M1661" s="5"/>
      <c r="N1661" s="5"/>
      <c r="P1661" s="5"/>
      <c r="Q1661" s="5"/>
      <c r="R1661" s="5"/>
      <c r="S1661" s="5"/>
      <c r="U1661" s="5"/>
      <c r="W1661" s="5"/>
    </row>
    <row r="1662" spans="3:23" x14ac:dyDescent="0.2">
      <c r="C1662" s="5"/>
      <c r="I1662" s="5"/>
      <c r="L1662" s="5"/>
      <c r="M1662" s="5"/>
      <c r="N1662" s="5"/>
      <c r="P1662" s="5"/>
      <c r="Q1662" s="5"/>
      <c r="R1662" s="5"/>
      <c r="S1662" s="5"/>
      <c r="U1662" s="5"/>
      <c r="W1662" s="5"/>
    </row>
    <row r="1663" spans="3:23" x14ac:dyDescent="0.2">
      <c r="C1663" s="5"/>
      <c r="I1663" s="5"/>
      <c r="L1663" s="5"/>
      <c r="M1663" s="5"/>
      <c r="N1663" s="5"/>
      <c r="P1663" s="5"/>
      <c r="Q1663" s="5"/>
      <c r="R1663" s="5"/>
      <c r="S1663" s="5"/>
      <c r="U1663" s="5"/>
      <c r="W1663" s="5"/>
    </row>
    <row r="1664" spans="3:23" x14ac:dyDescent="0.2">
      <c r="C1664" s="5"/>
      <c r="I1664" s="5"/>
      <c r="L1664" s="5"/>
      <c r="M1664" s="5"/>
      <c r="N1664" s="5"/>
      <c r="P1664" s="5"/>
      <c r="Q1664" s="5"/>
      <c r="R1664" s="5"/>
      <c r="S1664" s="5"/>
      <c r="U1664" s="5"/>
      <c r="W1664" s="5"/>
    </row>
    <row r="1665" spans="3:23" x14ac:dyDescent="0.2">
      <c r="C1665" s="5"/>
      <c r="I1665" s="5"/>
      <c r="L1665" s="5"/>
      <c r="M1665" s="5"/>
      <c r="N1665" s="5"/>
      <c r="P1665" s="5"/>
      <c r="Q1665" s="5"/>
      <c r="R1665" s="5"/>
      <c r="S1665" s="5"/>
      <c r="U1665" s="5"/>
      <c r="W1665" s="5"/>
    </row>
    <row r="1666" spans="3:23" x14ac:dyDescent="0.2">
      <c r="C1666" s="5"/>
      <c r="I1666" s="5"/>
      <c r="L1666" s="5"/>
      <c r="M1666" s="5"/>
      <c r="N1666" s="5"/>
      <c r="P1666" s="5"/>
      <c r="Q1666" s="5"/>
      <c r="R1666" s="5"/>
      <c r="S1666" s="5"/>
      <c r="U1666" s="5"/>
      <c r="W1666" s="5"/>
    </row>
    <row r="1667" spans="3:23" x14ac:dyDescent="0.2">
      <c r="C1667" s="5"/>
      <c r="I1667" s="5"/>
      <c r="L1667" s="5"/>
      <c r="M1667" s="5"/>
      <c r="N1667" s="5"/>
      <c r="P1667" s="5"/>
      <c r="Q1667" s="5"/>
      <c r="R1667" s="5"/>
      <c r="S1667" s="5"/>
      <c r="U1667" s="5"/>
      <c r="W1667" s="5"/>
    </row>
    <row r="1668" spans="3:23" x14ac:dyDescent="0.2">
      <c r="C1668" s="5"/>
      <c r="I1668" s="5"/>
      <c r="L1668" s="5"/>
      <c r="M1668" s="5"/>
      <c r="N1668" s="5"/>
      <c r="P1668" s="5"/>
      <c r="Q1668" s="5"/>
      <c r="R1668" s="5"/>
      <c r="S1668" s="5"/>
      <c r="U1668" s="5"/>
      <c r="W1668" s="5"/>
    </row>
    <row r="1669" spans="3:23" x14ac:dyDescent="0.2">
      <c r="C1669" s="5"/>
      <c r="I1669" s="5"/>
      <c r="L1669" s="5"/>
      <c r="M1669" s="5"/>
      <c r="N1669" s="5"/>
      <c r="P1669" s="5"/>
      <c r="Q1669" s="5"/>
      <c r="R1669" s="5"/>
      <c r="S1669" s="5"/>
      <c r="U1669" s="5"/>
      <c r="W1669" s="5"/>
    </row>
    <row r="1670" spans="3:23" x14ac:dyDescent="0.2">
      <c r="C1670" s="5"/>
      <c r="I1670" s="5"/>
      <c r="L1670" s="5"/>
      <c r="M1670" s="5"/>
      <c r="N1670" s="5"/>
      <c r="P1670" s="5"/>
      <c r="Q1670" s="5"/>
      <c r="R1670" s="5"/>
      <c r="S1670" s="5"/>
      <c r="U1670" s="5"/>
      <c r="W1670" s="5"/>
    </row>
    <row r="1671" spans="3:23" x14ac:dyDescent="0.2">
      <c r="C1671" s="5"/>
      <c r="I1671" s="5"/>
      <c r="L1671" s="5"/>
      <c r="M1671" s="5"/>
      <c r="N1671" s="5"/>
      <c r="P1671" s="5"/>
      <c r="Q1671" s="5"/>
      <c r="R1671" s="5"/>
      <c r="S1671" s="5"/>
      <c r="U1671" s="5"/>
      <c r="W1671" s="5"/>
    </row>
    <row r="1672" spans="3:23" x14ac:dyDescent="0.2">
      <c r="C1672" s="5"/>
      <c r="I1672" s="5"/>
      <c r="L1672" s="5"/>
      <c r="M1672" s="5"/>
      <c r="N1672" s="5"/>
      <c r="P1672" s="5"/>
      <c r="Q1672" s="5"/>
      <c r="R1672" s="5"/>
      <c r="S1672" s="5"/>
      <c r="U1672" s="5"/>
      <c r="W1672" s="5"/>
    </row>
    <row r="1673" spans="3:23" x14ac:dyDescent="0.2">
      <c r="C1673" s="5"/>
      <c r="I1673" s="5"/>
      <c r="L1673" s="5"/>
      <c r="M1673" s="5"/>
      <c r="N1673" s="5"/>
      <c r="P1673" s="5"/>
      <c r="Q1673" s="5"/>
      <c r="R1673" s="5"/>
      <c r="S1673" s="5"/>
      <c r="U1673" s="5"/>
      <c r="W1673" s="5"/>
    </row>
    <row r="1674" spans="3:23" x14ac:dyDescent="0.2">
      <c r="C1674" s="5"/>
      <c r="I1674" s="5"/>
      <c r="L1674" s="5"/>
      <c r="M1674" s="5"/>
      <c r="N1674" s="5"/>
      <c r="P1674" s="5"/>
      <c r="Q1674" s="5"/>
      <c r="R1674" s="5"/>
      <c r="S1674" s="5"/>
      <c r="U1674" s="5"/>
      <c r="W1674" s="5"/>
    </row>
    <row r="1675" spans="3:23" x14ac:dyDescent="0.2">
      <c r="C1675" s="5"/>
      <c r="I1675" s="5"/>
      <c r="L1675" s="5"/>
      <c r="M1675" s="5"/>
      <c r="N1675" s="5"/>
      <c r="P1675" s="5"/>
      <c r="Q1675" s="5"/>
      <c r="R1675" s="5"/>
      <c r="S1675" s="5"/>
      <c r="U1675" s="5"/>
      <c r="W1675" s="5"/>
    </row>
    <row r="1676" spans="3:23" x14ac:dyDescent="0.2">
      <c r="C1676" s="5"/>
      <c r="I1676" s="5"/>
      <c r="L1676" s="5"/>
      <c r="M1676" s="5"/>
      <c r="N1676" s="5"/>
      <c r="P1676" s="5"/>
      <c r="Q1676" s="5"/>
      <c r="R1676" s="5"/>
      <c r="S1676" s="5"/>
      <c r="U1676" s="5"/>
      <c r="W1676" s="5"/>
    </row>
    <row r="1677" spans="3:23" x14ac:dyDescent="0.2">
      <c r="C1677" s="5"/>
      <c r="I1677" s="5"/>
      <c r="L1677" s="5"/>
      <c r="M1677" s="5"/>
      <c r="N1677" s="5"/>
      <c r="P1677" s="5"/>
      <c r="Q1677" s="5"/>
      <c r="R1677" s="5"/>
      <c r="S1677" s="5"/>
      <c r="U1677" s="5"/>
      <c r="W1677" s="5"/>
    </row>
    <row r="1678" spans="3:23" x14ac:dyDescent="0.2">
      <c r="C1678" s="5"/>
      <c r="I1678" s="5"/>
      <c r="L1678" s="5"/>
      <c r="M1678" s="5"/>
      <c r="N1678" s="5"/>
      <c r="P1678" s="5"/>
      <c r="Q1678" s="5"/>
      <c r="R1678" s="5"/>
      <c r="S1678" s="5"/>
      <c r="U1678" s="5"/>
      <c r="W1678" s="5"/>
    </row>
    <row r="1679" spans="3:23" x14ac:dyDescent="0.2">
      <c r="C1679" s="5"/>
      <c r="I1679" s="5"/>
      <c r="L1679" s="5"/>
      <c r="M1679" s="5"/>
      <c r="N1679" s="5"/>
      <c r="P1679" s="5"/>
      <c r="Q1679" s="5"/>
      <c r="R1679" s="5"/>
      <c r="S1679" s="5"/>
      <c r="U1679" s="5"/>
      <c r="W1679" s="5"/>
    </row>
    <row r="1680" spans="3:23" x14ac:dyDescent="0.2">
      <c r="C1680" s="5"/>
      <c r="I1680" s="5"/>
      <c r="L1680" s="5"/>
      <c r="M1680" s="5"/>
      <c r="N1680" s="5"/>
      <c r="P1680" s="5"/>
      <c r="Q1680" s="5"/>
      <c r="R1680" s="5"/>
      <c r="S1680" s="5"/>
      <c r="U1680" s="5"/>
      <c r="W1680" s="5"/>
    </row>
    <row r="1681" spans="3:23" x14ac:dyDescent="0.2">
      <c r="C1681" s="5"/>
      <c r="I1681" s="5"/>
      <c r="L1681" s="5"/>
      <c r="M1681" s="5"/>
      <c r="N1681" s="5"/>
      <c r="P1681" s="5"/>
      <c r="Q1681" s="5"/>
      <c r="R1681" s="5"/>
      <c r="S1681" s="5"/>
      <c r="U1681" s="5"/>
      <c r="W1681" s="5"/>
    </row>
    <row r="1682" spans="3:23" x14ac:dyDescent="0.2">
      <c r="C1682" s="5"/>
      <c r="I1682" s="5"/>
      <c r="L1682" s="5"/>
      <c r="M1682" s="5"/>
      <c r="N1682" s="5"/>
      <c r="P1682" s="5"/>
      <c r="Q1682" s="5"/>
      <c r="R1682" s="5"/>
      <c r="S1682" s="5"/>
      <c r="U1682" s="5"/>
      <c r="W1682" s="5"/>
    </row>
    <row r="1683" spans="3:23" x14ac:dyDescent="0.2">
      <c r="C1683" s="5"/>
      <c r="I1683" s="5"/>
      <c r="L1683" s="5"/>
      <c r="M1683" s="5"/>
      <c r="N1683" s="5"/>
      <c r="P1683" s="5"/>
      <c r="Q1683" s="5"/>
      <c r="R1683" s="5"/>
      <c r="S1683" s="5"/>
      <c r="U1683" s="5"/>
      <c r="W1683" s="5"/>
    </row>
    <row r="1684" spans="3:23" x14ac:dyDescent="0.2">
      <c r="C1684" s="5"/>
      <c r="I1684" s="5"/>
      <c r="L1684" s="5"/>
      <c r="M1684" s="5"/>
      <c r="N1684" s="5"/>
      <c r="P1684" s="5"/>
      <c r="Q1684" s="5"/>
      <c r="R1684" s="5"/>
      <c r="S1684" s="5"/>
      <c r="U1684" s="5"/>
      <c r="W1684" s="5"/>
    </row>
    <row r="1685" spans="3:23" x14ac:dyDescent="0.2">
      <c r="C1685" s="5"/>
      <c r="I1685" s="5"/>
      <c r="L1685" s="5"/>
      <c r="M1685" s="5"/>
      <c r="N1685" s="5"/>
      <c r="P1685" s="5"/>
      <c r="Q1685" s="5"/>
      <c r="R1685" s="5"/>
      <c r="S1685" s="5"/>
      <c r="U1685" s="5"/>
      <c r="W1685" s="5"/>
    </row>
    <row r="1686" spans="3:23" x14ac:dyDescent="0.2">
      <c r="C1686" s="5"/>
      <c r="I1686" s="5"/>
      <c r="L1686" s="5"/>
      <c r="M1686" s="5"/>
      <c r="N1686" s="5"/>
      <c r="P1686" s="5"/>
      <c r="Q1686" s="5"/>
      <c r="R1686" s="5"/>
      <c r="S1686" s="5"/>
      <c r="U1686" s="5"/>
      <c r="W1686" s="5"/>
    </row>
    <row r="1687" spans="3:23" x14ac:dyDescent="0.2">
      <c r="C1687" s="5"/>
      <c r="I1687" s="5"/>
      <c r="L1687" s="5"/>
      <c r="M1687" s="5"/>
      <c r="N1687" s="5"/>
      <c r="P1687" s="5"/>
      <c r="Q1687" s="5"/>
      <c r="R1687" s="5"/>
      <c r="S1687" s="5"/>
      <c r="U1687" s="5"/>
      <c r="W1687" s="5"/>
    </row>
    <row r="1688" spans="3:23" x14ac:dyDescent="0.2">
      <c r="C1688" s="5"/>
      <c r="I1688" s="5"/>
      <c r="L1688" s="5"/>
      <c r="M1688" s="5"/>
      <c r="N1688" s="5"/>
      <c r="P1688" s="5"/>
      <c r="Q1688" s="5"/>
      <c r="R1688" s="5"/>
      <c r="S1688" s="5"/>
      <c r="U1688" s="5"/>
      <c r="W1688" s="5"/>
    </row>
    <row r="1689" spans="3:23" x14ac:dyDescent="0.2">
      <c r="C1689" s="5"/>
      <c r="I1689" s="5"/>
      <c r="L1689" s="5"/>
      <c r="M1689" s="5"/>
      <c r="N1689" s="5"/>
      <c r="P1689" s="5"/>
      <c r="Q1689" s="5"/>
      <c r="R1689" s="5"/>
      <c r="S1689" s="5"/>
      <c r="U1689" s="5"/>
      <c r="W1689" s="5"/>
    </row>
    <row r="1690" spans="3:23" x14ac:dyDescent="0.2">
      <c r="C1690" s="5"/>
      <c r="I1690" s="5"/>
      <c r="L1690" s="5"/>
      <c r="M1690" s="5"/>
      <c r="N1690" s="5"/>
      <c r="P1690" s="5"/>
      <c r="Q1690" s="5"/>
      <c r="R1690" s="5"/>
      <c r="S1690" s="5"/>
      <c r="U1690" s="5"/>
      <c r="W1690" s="5"/>
    </row>
    <row r="1691" spans="3:23" x14ac:dyDescent="0.2">
      <c r="C1691" s="5"/>
      <c r="I1691" s="5"/>
      <c r="L1691" s="5"/>
      <c r="M1691" s="5"/>
      <c r="N1691" s="5"/>
      <c r="P1691" s="5"/>
      <c r="Q1691" s="5"/>
      <c r="R1691" s="5"/>
      <c r="S1691" s="5"/>
      <c r="U1691" s="5"/>
      <c r="W1691" s="5"/>
    </row>
    <row r="1692" spans="3:23" x14ac:dyDescent="0.2">
      <c r="C1692" s="5"/>
      <c r="I1692" s="5"/>
      <c r="L1692" s="5"/>
      <c r="M1692" s="5"/>
      <c r="N1692" s="5"/>
      <c r="P1692" s="5"/>
      <c r="Q1692" s="5"/>
      <c r="R1692" s="5"/>
      <c r="S1692" s="5"/>
      <c r="U1692" s="5"/>
      <c r="W1692" s="5"/>
    </row>
    <row r="1693" spans="3:23" x14ac:dyDescent="0.2">
      <c r="C1693" s="5"/>
      <c r="I1693" s="5"/>
      <c r="L1693" s="5"/>
      <c r="M1693" s="5"/>
      <c r="N1693" s="5"/>
      <c r="P1693" s="5"/>
      <c r="Q1693" s="5"/>
      <c r="R1693" s="5"/>
      <c r="S1693" s="5"/>
      <c r="U1693" s="5"/>
      <c r="W1693" s="5"/>
    </row>
    <row r="1694" spans="3:23" x14ac:dyDescent="0.2">
      <c r="C1694" s="5"/>
      <c r="I1694" s="5"/>
      <c r="L1694" s="5"/>
      <c r="M1694" s="5"/>
      <c r="N1694" s="5"/>
      <c r="P1694" s="5"/>
      <c r="Q1694" s="5"/>
      <c r="R1694" s="5"/>
      <c r="S1694" s="5"/>
      <c r="U1694" s="5"/>
      <c r="W1694" s="5"/>
    </row>
    <row r="1695" spans="3:23" x14ac:dyDescent="0.2">
      <c r="C1695" s="5"/>
      <c r="I1695" s="5"/>
      <c r="L1695" s="5"/>
      <c r="M1695" s="5"/>
      <c r="N1695" s="5"/>
      <c r="P1695" s="5"/>
      <c r="Q1695" s="5"/>
      <c r="R1695" s="5"/>
      <c r="S1695" s="5"/>
      <c r="U1695" s="5"/>
      <c r="W1695" s="5"/>
    </row>
    <row r="1696" spans="3:23" x14ac:dyDescent="0.2">
      <c r="C1696" s="5"/>
      <c r="I1696" s="5"/>
      <c r="L1696" s="5"/>
      <c r="M1696" s="5"/>
      <c r="N1696" s="5"/>
      <c r="P1696" s="5"/>
      <c r="Q1696" s="5"/>
      <c r="R1696" s="5"/>
      <c r="S1696" s="5"/>
      <c r="U1696" s="5"/>
      <c r="W1696" s="5"/>
    </row>
    <row r="1697" spans="3:23" x14ac:dyDescent="0.2">
      <c r="C1697" s="5"/>
      <c r="I1697" s="5"/>
      <c r="L1697" s="5"/>
      <c r="M1697" s="5"/>
      <c r="N1697" s="5"/>
      <c r="P1697" s="5"/>
      <c r="Q1697" s="5"/>
      <c r="R1697" s="5"/>
      <c r="S1697" s="5"/>
      <c r="U1697" s="5"/>
      <c r="W1697" s="5"/>
    </row>
    <row r="1698" spans="3:23" x14ac:dyDescent="0.2">
      <c r="C1698" s="5"/>
      <c r="I1698" s="5"/>
      <c r="L1698" s="5"/>
      <c r="M1698" s="5"/>
      <c r="N1698" s="5"/>
      <c r="P1698" s="5"/>
      <c r="Q1698" s="5"/>
      <c r="R1698" s="5"/>
      <c r="S1698" s="5"/>
      <c r="U1698" s="5"/>
      <c r="W1698" s="5"/>
    </row>
    <row r="1699" spans="3:23" x14ac:dyDescent="0.2">
      <c r="C1699" s="5"/>
      <c r="I1699" s="5"/>
      <c r="L1699" s="5"/>
      <c r="M1699" s="5"/>
      <c r="N1699" s="5"/>
      <c r="P1699" s="5"/>
      <c r="Q1699" s="5"/>
      <c r="R1699" s="5"/>
      <c r="S1699" s="5"/>
      <c r="U1699" s="5"/>
      <c r="W1699" s="5"/>
    </row>
    <row r="1700" spans="3:23" x14ac:dyDescent="0.2">
      <c r="C1700" s="5"/>
      <c r="I1700" s="5"/>
      <c r="L1700" s="5"/>
      <c r="M1700" s="5"/>
      <c r="N1700" s="5"/>
      <c r="P1700" s="5"/>
      <c r="Q1700" s="5"/>
      <c r="R1700" s="5"/>
      <c r="S1700" s="5"/>
      <c r="U1700" s="5"/>
      <c r="W1700" s="5"/>
    </row>
    <row r="1701" spans="3:23" x14ac:dyDescent="0.2">
      <c r="C1701" s="5"/>
      <c r="I1701" s="5"/>
      <c r="L1701" s="5"/>
      <c r="M1701" s="5"/>
      <c r="N1701" s="5"/>
      <c r="P1701" s="5"/>
      <c r="Q1701" s="5"/>
      <c r="R1701" s="5"/>
      <c r="S1701" s="5"/>
      <c r="U1701" s="5"/>
      <c r="W1701" s="5"/>
    </row>
    <row r="1702" spans="3:23" x14ac:dyDescent="0.2">
      <c r="C1702" s="5"/>
      <c r="I1702" s="5"/>
      <c r="L1702" s="5"/>
      <c r="M1702" s="5"/>
      <c r="N1702" s="5"/>
      <c r="P1702" s="5"/>
      <c r="Q1702" s="5"/>
      <c r="R1702" s="5"/>
      <c r="S1702" s="5"/>
      <c r="U1702" s="5"/>
      <c r="W1702" s="5"/>
    </row>
    <row r="1703" spans="3:23" x14ac:dyDescent="0.2">
      <c r="C1703" s="5"/>
      <c r="I1703" s="5"/>
      <c r="L1703" s="5"/>
      <c r="M1703" s="5"/>
      <c r="N1703" s="5"/>
      <c r="P1703" s="5"/>
      <c r="Q1703" s="5"/>
      <c r="R1703" s="5"/>
      <c r="S1703" s="5"/>
      <c r="U1703" s="5"/>
      <c r="W1703" s="5"/>
    </row>
    <row r="1704" spans="3:23" x14ac:dyDescent="0.2">
      <c r="C1704" s="5"/>
      <c r="I1704" s="5"/>
      <c r="L1704" s="5"/>
      <c r="M1704" s="5"/>
      <c r="N1704" s="5"/>
      <c r="P1704" s="5"/>
      <c r="Q1704" s="5"/>
      <c r="R1704" s="5"/>
      <c r="S1704" s="5"/>
      <c r="U1704" s="5"/>
      <c r="W1704" s="5"/>
    </row>
    <row r="1705" spans="3:23" x14ac:dyDescent="0.2">
      <c r="C1705" s="5"/>
      <c r="I1705" s="5"/>
      <c r="L1705" s="5"/>
      <c r="M1705" s="5"/>
      <c r="N1705" s="5"/>
      <c r="P1705" s="5"/>
      <c r="Q1705" s="5"/>
      <c r="R1705" s="5"/>
      <c r="S1705" s="5"/>
      <c r="U1705" s="5"/>
      <c r="W1705" s="5"/>
    </row>
    <row r="1706" spans="3:23" x14ac:dyDescent="0.2">
      <c r="C1706" s="5"/>
      <c r="I1706" s="5"/>
      <c r="L1706" s="5"/>
      <c r="M1706" s="5"/>
      <c r="N1706" s="5"/>
      <c r="P1706" s="5"/>
      <c r="Q1706" s="5"/>
      <c r="R1706" s="5"/>
      <c r="S1706" s="5"/>
      <c r="U1706" s="5"/>
      <c r="W1706" s="5"/>
    </row>
    <row r="1707" spans="3:23" x14ac:dyDescent="0.2">
      <c r="C1707" s="5"/>
      <c r="I1707" s="5"/>
      <c r="L1707" s="5"/>
      <c r="M1707" s="5"/>
      <c r="N1707" s="5"/>
      <c r="P1707" s="5"/>
      <c r="Q1707" s="5"/>
      <c r="R1707" s="5"/>
      <c r="S1707" s="5"/>
      <c r="U1707" s="5"/>
      <c r="W1707" s="5"/>
    </row>
    <row r="1708" spans="3:23" x14ac:dyDescent="0.2">
      <c r="C1708" s="5"/>
      <c r="I1708" s="5"/>
      <c r="L1708" s="5"/>
      <c r="M1708" s="5"/>
      <c r="N1708" s="5"/>
      <c r="P1708" s="5"/>
      <c r="Q1708" s="5"/>
      <c r="R1708" s="5"/>
      <c r="S1708" s="5"/>
      <c r="U1708" s="5"/>
      <c r="W1708" s="5"/>
    </row>
    <row r="1709" spans="3:23" x14ac:dyDescent="0.2">
      <c r="C1709" s="5"/>
      <c r="I1709" s="5"/>
      <c r="L1709" s="5"/>
      <c r="M1709" s="5"/>
      <c r="N1709" s="5"/>
      <c r="P1709" s="5"/>
      <c r="Q1709" s="5"/>
      <c r="R1709" s="5"/>
      <c r="S1709" s="5"/>
      <c r="U1709" s="5"/>
      <c r="W1709" s="5"/>
    </row>
    <row r="1710" spans="3:23" x14ac:dyDescent="0.2">
      <c r="C1710" s="5"/>
      <c r="I1710" s="5"/>
      <c r="L1710" s="5"/>
      <c r="M1710" s="5"/>
      <c r="N1710" s="5"/>
      <c r="P1710" s="5"/>
      <c r="Q1710" s="5"/>
      <c r="R1710" s="5"/>
      <c r="S1710" s="5"/>
      <c r="U1710" s="5"/>
      <c r="W1710" s="5"/>
    </row>
    <row r="1711" spans="3:23" x14ac:dyDescent="0.2">
      <c r="C1711" s="5"/>
      <c r="I1711" s="5"/>
      <c r="L1711" s="5"/>
      <c r="M1711" s="5"/>
      <c r="N1711" s="5"/>
      <c r="P1711" s="5"/>
      <c r="Q1711" s="5"/>
      <c r="R1711" s="5"/>
      <c r="S1711" s="5"/>
      <c r="U1711" s="5"/>
      <c r="W1711" s="5"/>
    </row>
    <row r="1712" spans="3:23" x14ac:dyDescent="0.2">
      <c r="C1712" s="5"/>
      <c r="I1712" s="5"/>
      <c r="L1712" s="5"/>
      <c r="M1712" s="5"/>
      <c r="N1712" s="5"/>
      <c r="P1712" s="5"/>
      <c r="Q1712" s="5"/>
      <c r="R1712" s="5"/>
      <c r="S1712" s="5"/>
      <c r="U1712" s="5"/>
      <c r="W1712" s="5"/>
    </row>
    <row r="1713" spans="3:23" x14ac:dyDescent="0.2">
      <c r="C1713" s="5"/>
      <c r="I1713" s="5"/>
      <c r="L1713" s="5"/>
      <c r="M1713" s="5"/>
      <c r="N1713" s="5"/>
      <c r="P1713" s="5"/>
      <c r="Q1713" s="5"/>
      <c r="R1713" s="5"/>
      <c r="S1713" s="5"/>
      <c r="U1713" s="5"/>
      <c r="W1713" s="5"/>
    </row>
    <row r="1714" spans="3:23" x14ac:dyDescent="0.2">
      <c r="C1714" s="5"/>
      <c r="I1714" s="5"/>
      <c r="L1714" s="5"/>
      <c r="M1714" s="5"/>
      <c r="N1714" s="5"/>
      <c r="P1714" s="5"/>
      <c r="Q1714" s="5"/>
      <c r="R1714" s="5"/>
      <c r="S1714" s="5"/>
      <c r="U1714" s="5"/>
      <c r="W1714" s="5"/>
    </row>
    <row r="1715" spans="3:23" x14ac:dyDescent="0.2">
      <c r="C1715" s="5"/>
      <c r="I1715" s="5"/>
      <c r="L1715" s="5"/>
      <c r="M1715" s="5"/>
      <c r="N1715" s="5"/>
      <c r="P1715" s="5"/>
      <c r="Q1715" s="5"/>
      <c r="R1715" s="5"/>
      <c r="S1715" s="5"/>
      <c r="U1715" s="5"/>
      <c r="W1715" s="5"/>
    </row>
    <row r="1716" spans="3:23" x14ac:dyDescent="0.2">
      <c r="C1716" s="5"/>
      <c r="I1716" s="5"/>
      <c r="L1716" s="5"/>
      <c r="M1716" s="5"/>
      <c r="N1716" s="5"/>
      <c r="P1716" s="5"/>
      <c r="Q1716" s="5"/>
      <c r="R1716" s="5"/>
      <c r="S1716" s="5"/>
      <c r="U1716" s="5"/>
      <c r="W1716" s="5"/>
    </row>
    <row r="1717" spans="3:23" x14ac:dyDescent="0.2">
      <c r="C1717" s="5"/>
      <c r="I1717" s="5"/>
      <c r="L1717" s="5"/>
      <c r="M1717" s="5"/>
      <c r="N1717" s="5"/>
      <c r="P1717" s="5"/>
      <c r="Q1717" s="5"/>
      <c r="R1717" s="5"/>
      <c r="S1717" s="5"/>
      <c r="U1717" s="5"/>
      <c r="W1717" s="5"/>
    </row>
    <row r="1718" spans="3:23" x14ac:dyDescent="0.2">
      <c r="C1718" s="5"/>
      <c r="I1718" s="5"/>
      <c r="L1718" s="5"/>
      <c r="M1718" s="5"/>
      <c r="N1718" s="5"/>
      <c r="P1718" s="5"/>
      <c r="Q1718" s="5"/>
      <c r="R1718" s="5"/>
      <c r="S1718" s="5"/>
      <c r="U1718" s="5"/>
      <c r="W1718" s="5"/>
    </row>
    <row r="1719" spans="3:23" x14ac:dyDescent="0.2">
      <c r="C1719" s="5"/>
      <c r="I1719" s="5"/>
      <c r="L1719" s="5"/>
      <c r="M1719" s="5"/>
      <c r="N1719" s="5"/>
      <c r="P1719" s="5"/>
      <c r="Q1719" s="5"/>
      <c r="R1719" s="5"/>
      <c r="S1719" s="5"/>
      <c r="U1719" s="5"/>
      <c r="W1719" s="5"/>
    </row>
    <row r="1720" spans="3:23" x14ac:dyDescent="0.2">
      <c r="C1720" s="5"/>
      <c r="I1720" s="5"/>
      <c r="L1720" s="5"/>
      <c r="M1720" s="5"/>
      <c r="N1720" s="5"/>
      <c r="P1720" s="5"/>
      <c r="Q1720" s="5"/>
      <c r="R1720" s="5"/>
      <c r="S1720" s="5"/>
      <c r="U1720" s="5"/>
      <c r="W1720" s="5"/>
    </row>
    <row r="1721" spans="3:23" x14ac:dyDescent="0.2">
      <c r="C1721" s="5"/>
      <c r="I1721" s="5"/>
      <c r="L1721" s="5"/>
      <c r="M1721" s="5"/>
      <c r="N1721" s="5"/>
      <c r="P1721" s="5"/>
      <c r="Q1721" s="5"/>
      <c r="R1721" s="5"/>
      <c r="S1721" s="5"/>
      <c r="U1721" s="5"/>
      <c r="W1721" s="5"/>
    </row>
    <row r="1722" spans="3:23" x14ac:dyDescent="0.2">
      <c r="C1722" s="5"/>
      <c r="I1722" s="5"/>
      <c r="L1722" s="5"/>
      <c r="M1722" s="5"/>
      <c r="N1722" s="5"/>
      <c r="P1722" s="5"/>
      <c r="Q1722" s="5"/>
      <c r="R1722" s="5"/>
      <c r="S1722" s="5"/>
      <c r="U1722" s="5"/>
      <c r="W1722" s="5"/>
    </row>
    <row r="1723" spans="3:23" x14ac:dyDescent="0.2">
      <c r="C1723" s="5"/>
      <c r="I1723" s="5"/>
      <c r="L1723" s="5"/>
      <c r="M1723" s="5"/>
      <c r="N1723" s="5"/>
      <c r="P1723" s="5"/>
      <c r="Q1723" s="5"/>
      <c r="R1723" s="5"/>
      <c r="S1723" s="5"/>
      <c r="U1723" s="5"/>
      <c r="W1723" s="5"/>
    </row>
    <row r="1724" spans="3:23" x14ac:dyDescent="0.2">
      <c r="C1724" s="5"/>
      <c r="I1724" s="5"/>
      <c r="L1724" s="5"/>
      <c r="M1724" s="5"/>
      <c r="N1724" s="5"/>
      <c r="P1724" s="5"/>
      <c r="Q1724" s="5"/>
      <c r="R1724" s="5"/>
      <c r="S1724" s="5"/>
      <c r="U1724" s="5"/>
      <c r="W1724" s="5"/>
    </row>
    <row r="1725" spans="3:23" x14ac:dyDescent="0.2">
      <c r="C1725" s="5"/>
      <c r="I1725" s="5"/>
      <c r="L1725" s="5"/>
      <c r="M1725" s="5"/>
      <c r="N1725" s="5"/>
      <c r="P1725" s="5"/>
      <c r="Q1725" s="5"/>
      <c r="R1725" s="5"/>
      <c r="S1725" s="5"/>
      <c r="U1725" s="5"/>
      <c r="W1725" s="5"/>
    </row>
    <row r="1726" spans="3:23" x14ac:dyDescent="0.2">
      <c r="C1726" s="5"/>
      <c r="I1726" s="5"/>
      <c r="L1726" s="5"/>
      <c r="M1726" s="5"/>
      <c r="N1726" s="5"/>
      <c r="P1726" s="5"/>
      <c r="Q1726" s="5"/>
      <c r="R1726" s="5"/>
      <c r="S1726" s="5"/>
      <c r="U1726" s="5"/>
      <c r="W1726" s="5"/>
    </row>
    <row r="1727" spans="3:23" x14ac:dyDescent="0.2">
      <c r="C1727" s="5"/>
      <c r="I1727" s="5"/>
      <c r="L1727" s="5"/>
      <c r="M1727" s="5"/>
      <c r="N1727" s="5"/>
      <c r="P1727" s="5"/>
      <c r="Q1727" s="5"/>
      <c r="R1727" s="5"/>
      <c r="S1727" s="5"/>
      <c r="U1727" s="5"/>
      <c r="W1727" s="5"/>
    </row>
    <row r="1728" spans="3:23" x14ac:dyDescent="0.2">
      <c r="C1728" s="5"/>
      <c r="I1728" s="5"/>
      <c r="L1728" s="5"/>
      <c r="M1728" s="5"/>
      <c r="N1728" s="5"/>
      <c r="P1728" s="5"/>
      <c r="Q1728" s="5"/>
      <c r="R1728" s="5"/>
      <c r="S1728" s="5"/>
      <c r="U1728" s="5"/>
      <c r="W1728" s="5"/>
    </row>
    <row r="1729" spans="3:23" x14ac:dyDescent="0.2">
      <c r="C1729" s="5"/>
      <c r="I1729" s="5"/>
      <c r="L1729" s="5"/>
      <c r="M1729" s="5"/>
      <c r="N1729" s="5"/>
      <c r="P1729" s="5"/>
      <c r="Q1729" s="5"/>
      <c r="R1729" s="5"/>
      <c r="S1729" s="5"/>
      <c r="U1729" s="5"/>
      <c r="W1729" s="5"/>
    </row>
    <row r="1730" spans="3:23" x14ac:dyDescent="0.2">
      <c r="C1730" s="5"/>
      <c r="I1730" s="5"/>
      <c r="L1730" s="5"/>
      <c r="M1730" s="5"/>
      <c r="N1730" s="5"/>
      <c r="P1730" s="5"/>
      <c r="Q1730" s="5"/>
      <c r="R1730" s="5"/>
      <c r="S1730" s="5"/>
      <c r="U1730" s="5"/>
      <c r="W1730" s="5"/>
    </row>
    <row r="1731" spans="3:23" x14ac:dyDescent="0.2">
      <c r="C1731" s="5"/>
      <c r="I1731" s="5"/>
      <c r="L1731" s="5"/>
      <c r="M1731" s="5"/>
      <c r="N1731" s="5"/>
      <c r="P1731" s="5"/>
      <c r="Q1731" s="5"/>
      <c r="R1731" s="5"/>
      <c r="S1731" s="5"/>
      <c r="U1731" s="5"/>
      <c r="W1731" s="5"/>
    </row>
    <row r="1732" spans="3:23" x14ac:dyDescent="0.2">
      <c r="C1732" s="5"/>
      <c r="I1732" s="5"/>
      <c r="L1732" s="5"/>
      <c r="M1732" s="5"/>
      <c r="N1732" s="5"/>
      <c r="P1732" s="5"/>
      <c r="Q1732" s="5"/>
      <c r="R1732" s="5"/>
      <c r="S1732" s="5"/>
      <c r="U1732" s="5"/>
      <c r="W1732" s="5"/>
    </row>
    <row r="1733" spans="3:23" x14ac:dyDescent="0.2">
      <c r="C1733" s="5"/>
      <c r="I1733" s="5"/>
      <c r="L1733" s="5"/>
      <c r="M1733" s="5"/>
      <c r="N1733" s="5"/>
      <c r="P1733" s="5"/>
      <c r="Q1733" s="5"/>
      <c r="R1733" s="5"/>
      <c r="S1733" s="5"/>
      <c r="U1733" s="5"/>
      <c r="W1733" s="5"/>
    </row>
    <row r="1734" spans="3:23" x14ac:dyDescent="0.2">
      <c r="C1734" s="5"/>
      <c r="I1734" s="5"/>
      <c r="L1734" s="5"/>
      <c r="M1734" s="5"/>
      <c r="N1734" s="5"/>
      <c r="P1734" s="5"/>
      <c r="Q1734" s="5"/>
      <c r="R1734" s="5"/>
      <c r="S1734" s="5"/>
      <c r="U1734" s="5"/>
      <c r="W1734" s="5"/>
    </row>
    <row r="1735" spans="3:23" x14ac:dyDescent="0.2">
      <c r="C1735" s="5"/>
      <c r="I1735" s="5"/>
      <c r="L1735" s="5"/>
      <c r="M1735" s="5"/>
      <c r="N1735" s="5"/>
      <c r="P1735" s="5"/>
      <c r="Q1735" s="5"/>
      <c r="R1735" s="5"/>
      <c r="S1735" s="5"/>
      <c r="U1735" s="5"/>
      <c r="W1735" s="5"/>
    </row>
    <row r="1736" spans="3:23" x14ac:dyDescent="0.2">
      <c r="C1736" s="5"/>
      <c r="I1736" s="5"/>
      <c r="L1736" s="5"/>
      <c r="M1736" s="5"/>
      <c r="N1736" s="5"/>
      <c r="P1736" s="5"/>
      <c r="Q1736" s="5"/>
      <c r="R1736" s="5"/>
      <c r="S1736" s="5"/>
      <c r="U1736" s="5"/>
      <c r="W1736" s="5"/>
    </row>
    <row r="1737" spans="3:23" x14ac:dyDescent="0.2">
      <c r="C1737" s="5"/>
      <c r="I1737" s="5"/>
      <c r="L1737" s="5"/>
      <c r="M1737" s="5"/>
      <c r="N1737" s="5"/>
      <c r="P1737" s="5"/>
      <c r="Q1737" s="5"/>
      <c r="R1737" s="5"/>
      <c r="S1737" s="5"/>
      <c r="U1737" s="5"/>
      <c r="W1737" s="5"/>
    </row>
    <row r="1738" spans="3:23" x14ac:dyDescent="0.2">
      <c r="C1738" s="5"/>
      <c r="I1738" s="5"/>
      <c r="L1738" s="5"/>
      <c r="M1738" s="5"/>
      <c r="N1738" s="5"/>
      <c r="P1738" s="5"/>
      <c r="Q1738" s="5"/>
      <c r="R1738" s="5"/>
      <c r="S1738" s="5"/>
      <c r="U1738" s="5"/>
      <c r="W1738" s="5"/>
    </row>
    <row r="1739" spans="3:23" x14ac:dyDescent="0.2">
      <c r="C1739" s="5"/>
      <c r="I1739" s="5"/>
      <c r="L1739" s="5"/>
      <c r="M1739" s="5"/>
      <c r="N1739" s="5"/>
      <c r="P1739" s="5"/>
      <c r="Q1739" s="5"/>
      <c r="R1739" s="5"/>
      <c r="S1739" s="5"/>
      <c r="U1739" s="5"/>
      <c r="W1739" s="5"/>
    </row>
    <row r="1740" spans="3:23" x14ac:dyDescent="0.2">
      <c r="C1740" s="5"/>
      <c r="I1740" s="5"/>
      <c r="L1740" s="5"/>
      <c r="M1740" s="5"/>
      <c r="N1740" s="5"/>
      <c r="P1740" s="5"/>
      <c r="Q1740" s="5"/>
      <c r="R1740" s="5"/>
      <c r="S1740" s="5"/>
      <c r="U1740" s="5"/>
      <c r="W1740" s="5"/>
    </row>
    <row r="1741" spans="3:23" x14ac:dyDescent="0.2">
      <c r="C1741" s="5"/>
      <c r="I1741" s="5"/>
      <c r="L1741" s="5"/>
      <c r="M1741" s="5"/>
      <c r="N1741" s="5"/>
      <c r="P1741" s="5"/>
      <c r="Q1741" s="5"/>
      <c r="R1741" s="5"/>
      <c r="S1741" s="5"/>
      <c r="U1741" s="5"/>
      <c r="W1741" s="5"/>
    </row>
    <row r="1742" spans="3:23" x14ac:dyDescent="0.2">
      <c r="C1742" s="5"/>
      <c r="I1742" s="5"/>
      <c r="L1742" s="5"/>
      <c r="M1742" s="5"/>
      <c r="N1742" s="5"/>
      <c r="P1742" s="5"/>
      <c r="Q1742" s="5"/>
      <c r="R1742" s="5"/>
      <c r="S1742" s="5"/>
      <c r="U1742" s="5"/>
      <c r="W1742" s="5"/>
    </row>
    <row r="1743" spans="3:23" x14ac:dyDescent="0.2">
      <c r="C1743" s="5"/>
      <c r="I1743" s="5"/>
      <c r="L1743" s="5"/>
      <c r="M1743" s="5"/>
      <c r="N1743" s="5"/>
      <c r="P1743" s="5"/>
      <c r="Q1743" s="5"/>
      <c r="R1743" s="5"/>
      <c r="S1743" s="5"/>
      <c r="U1743" s="5"/>
      <c r="W1743" s="5"/>
    </row>
    <row r="1744" spans="3:23" x14ac:dyDescent="0.2">
      <c r="C1744" s="5"/>
      <c r="I1744" s="5"/>
      <c r="L1744" s="5"/>
      <c r="M1744" s="5"/>
      <c r="N1744" s="5"/>
      <c r="P1744" s="5"/>
      <c r="Q1744" s="5"/>
      <c r="R1744" s="5"/>
      <c r="S1744" s="5"/>
      <c r="U1744" s="5"/>
      <c r="W1744" s="5"/>
    </row>
    <row r="1745" spans="3:23" x14ac:dyDescent="0.2">
      <c r="C1745" s="5"/>
      <c r="I1745" s="5"/>
      <c r="L1745" s="5"/>
      <c r="M1745" s="5"/>
      <c r="N1745" s="5"/>
      <c r="P1745" s="5"/>
      <c r="Q1745" s="5"/>
      <c r="R1745" s="5"/>
      <c r="S1745" s="5"/>
      <c r="U1745" s="5"/>
      <c r="W1745" s="5"/>
    </row>
    <row r="1746" spans="3:23" x14ac:dyDescent="0.2">
      <c r="C1746" s="5"/>
      <c r="I1746" s="5"/>
      <c r="L1746" s="5"/>
      <c r="M1746" s="5"/>
      <c r="N1746" s="5"/>
      <c r="P1746" s="5"/>
      <c r="Q1746" s="5"/>
      <c r="R1746" s="5"/>
      <c r="S1746" s="5"/>
      <c r="U1746" s="5"/>
      <c r="W1746" s="5"/>
    </row>
    <row r="1747" spans="3:23" x14ac:dyDescent="0.2">
      <c r="C1747" s="5"/>
      <c r="I1747" s="5"/>
      <c r="L1747" s="5"/>
      <c r="M1747" s="5"/>
      <c r="N1747" s="5"/>
      <c r="P1747" s="5"/>
      <c r="Q1747" s="5"/>
      <c r="R1747" s="5"/>
      <c r="S1747" s="5"/>
      <c r="U1747" s="5"/>
      <c r="W1747" s="5"/>
    </row>
    <row r="1748" spans="3:23" x14ac:dyDescent="0.2">
      <c r="C1748" s="5"/>
      <c r="I1748" s="5"/>
      <c r="L1748" s="5"/>
      <c r="M1748" s="5"/>
      <c r="N1748" s="5"/>
      <c r="P1748" s="5"/>
      <c r="Q1748" s="5"/>
      <c r="R1748" s="5"/>
      <c r="S1748" s="5"/>
      <c r="U1748" s="5"/>
      <c r="W1748" s="5"/>
    </row>
    <row r="1749" spans="3:23" x14ac:dyDescent="0.2">
      <c r="C1749" s="5"/>
      <c r="I1749" s="5"/>
      <c r="L1749" s="5"/>
      <c r="M1749" s="5"/>
      <c r="N1749" s="5"/>
      <c r="P1749" s="5"/>
      <c r="Q1749" s="5"/>
      <c r="R1749" s="5"/>
      <c r="S1749" s="5"/>
      <c r="U1749" s="5"/>
      <c r="W1749" s="5"/>
    </row>
    <row r="1750" spans="3:23" x14ac:dyDescent="0.2">
      <c r="C1750" s="5"/>
      <c r="I1750" s="5"/>
      <c r="L1750" s="5"/>
      <c r="M1750" s="5"/>
      <c r="N1750" s="5"/>
      <c r="P1750" s="5"/>
      <c r="Q1750" s="5"/>
      <c r="R1750" s="5"/>
      <c r="S1750" s="5"/>
      <c r="U1750" s="5"/>
      <c r="W1750" s="5"/>
    </row>
    <row r="1751" spans="3:23" x14ac:dyDescent="0.2">
      <c r="C1751" s="5"/>
      <c r="I1751" s="5"/>
      <c r="L1751" s="5"/>
      <c r="M1751" s="5"/>
      <c r="N1751" s="5"/>
      <c r="P1751" s="5"/>
      <c r="Q1751" s="5"/>
      <c r="R1751" s="5"/>
      <c r="S1751" s="5"/>
      <c r="U1751" s="5"/>
      <c r="W1751" s="5"/>
    </row>
    <row r="1752" spans="3:23" x14ac:dyDescent="0.2">
      <c r="C1752" s="5"/>
      <c r="I1752" s="5"/>
      <c r="L1752" s="5"/>
      <c r="M1752" s="5"/>
      <c r="N1752" s="5"/>
      <c r="P1752" s="5"/>
      <c r="Q1752" s="5"/>
      <c r="R1752" s="5"/>
      <c r="S1752" s="5"/>
      <c r="U1752" s="5"/>
      <c r="W1752" s="5"/>
    </row>
    <row r="1753" spans="3:23" x14ac:dyDescent="0.2">
      <c r="C1753" s="5"/>
      <c r="I1753" s="5"/>
      <c r="L1753" s="5"/>
      <c r="M1753" s="5"/>
      <c r="N1753" s="5"/>
      <c r="P1753" s="5"/>
      <c r="Q1753" s="5"/>
      <c r="R1753" s="5"/>
      <c r="S1753" s="5"/>
      <c r="U1753" s="5"/>
      <c r="W1753" s="5"/>
    </row>
    <row r="1754" spans="3:23" x14ac:dyDescent="0.2">
      <c r="C1754" s="5"/>
      <c r="I1754" s="5"/>
      <c r="L1754" s="5"/>
      <c r="M1754" s="5"/>
      <c r="N1754" s="5"/>
      <c r="P1754" s="5"/>
      <c r="Q1754" s="5"/>
      <c r="R1754" s="5"/>
      <c r="S1754" s="5"/>
      <c r="U1754" s="5"/>
      <c r="W1754" s="5"/>
    </row>
    <row r="1755" spans="3:23" x14ac:dyDescent="0.2">
      <c r="C1755" s="5"/>
      <c r="I1755" s="5"/>
      <c r="L1755" s="5"/>
      <c r="M1755" s="5"/>
      <c r="N1755" s="5"/>
      <c r="P1755" s="5"/>
      <c r="Q1755" s="5"/>
      <c r="R1755" s="5"/>
      <c r="S1755" s="5"/>
      <c r="U1755" s="5"/>
      <c r="W1755" s="5"/>
    </row>
    <row r="1756" spans="3:23" x14ac:dyDescent="0.2">
      <c r="C1756" s="5"/>
      <c r="I1756" s="5"/>
      <c r="L1756" s="5"/>
      <c r="M1756" s="5"/>
      <c r="N1756" s="5"/>
      <c r="P1756" s="5"/>
      <c r="Q1756" s="5"/>
      <c r="R1756" s="5"/>
      <c r="S1756" s="5"/>
      <c r="U1756" s="5"/>
      <c r="W1756" s="5"/>
    </row>
    <row r="1757" spans="3:23" x14ac:dyDescent="0.2">
      <c r="C1757" s="5"/>
      <c r="I1757" s="5"/>
      <c r="L1757" s="5"/>
      <c r="M1757" s="5"/>
      <c r="N1757" s="5"/>
      <c r="P1757" s="5"/>
      <c r="Q1757" s="5"/>
      <c r="R1757" s="5"/>
      <c r="S1757" s="5"/>
      <c r="U1757" s="5"/>
      <c r="W1757" s="5"/>
    </row>
    <row r="1758" spans="3:23" x14ac:dyDescent="0.2">
      <c r="C1758" s="5"/>
      <c r="I1758" s="5"/>
      <c r="L1758" s="5"/>
      <c r="M1758" s="5"/>
      <c r="N1758" s="5"/>
      <c r="P1758" s="5"/>
      <c r="Q1758" s="5"/>
      <c r="R1758" s="5"/>
      <c r="S1758" s="5"/>
      <c r="U1758" s="5"/>
      <c r="W1758" s="5"/>
    </row>
    <row r="1759" spans="3:23" x14ac:dyDescent="0.2">
      <c r="C1759" s="5"/>
      <c r="I1759" s="5"/>
      <c r="L1759" s="5"/>
      <c r="M1759" s="5"/>
      <c r="N1759" s="5"/>
      <c r="P1759" s="5"/>
      <c r="Q1759" s="5"/>
      <c r="R1759" s="5"/>
      <c r="S1759" s="5"/>
      <c r="U1759" s="5"/>
      <c r="W1759" s="5"/>
    </row>
    <row r="1760" spans="3:23" x14ac:dyDescent="0.2">
      <c r="C1760" s="5"/>
      <c r="I1760" s="5"/>
      <c r="L1760" s="5"/>
      <c r="M1760" s="5"/>
      <c r="N1760" s="5"/>
      <c r="P1760" s="5"/>
      <c r="Q1760" s="5"/>
      <c r="R1760" s="5"/>
      <c r="S1760" s="5"/>
      <c r="U1760" s="5"/>
      <c r="W1760" s="5"/>
    </row>
    <row r="1761" spans="3:23" x14ac:dyDescent="0.2">
      <c r="C1761" s="5"/>
      <c r="I1761" s="5"/>
      <c r="L1761" s="5"/>
      <c r="M1761" s="5"/>
      <c r="N1761" s="5"/>
      <c r="P1761" s="5"/>
      <c r="Q1761" s="5"/>
      <c r="R1761" s="5"/>
      <c r="S1761" s="5"/>
      <c r="U1761" s="5"/>
      <c r="W1761" s="5"/>
    </row>
    <row r="1762" spans="3:23" x14ac:dyDescent="0.2">
      <c r="C1762" s="5"/>
      <c r="I1762" s="5"/>
      <c r="L1762" s="5"/>
      <c r="M1762" s="5"/>
      <c r="N1762" s="5"/>
      <c r="P1762" s="5"/>
      <c r="Q1762" s="5"/>
      <c r="R1762" s="5"/>
      <c r="S1762" s="5"/>
      <c r="U1762" s="5"/>
      <c r="W1762" s="5"/>
    </row>
    <row r="1763" spans="3:23" x14ac:dyDescent="0.2">
      <c r="C1763" s="5"/>
      <c r="I1763" s="5"/>
      <c r="L1763" s="5"/>
      <c r="M1763" s="5"/>
      <c r="N1763" s="5"/>
      <c r="P1763" s="5"/>
      <c r="Q1763" s="5"/>
      <c r="R1763" s="5"/>
      <c r="S1763" s="5"/>
      <c r="U1763" s="5"/>
      <c r="W1763" s="5"/>
    </row>
    <row r="1764" spans="3:23" x14ac:dyDescent="0.2">
      <c r="C1764" s="5"/>
      <c r="I1764" s="5"/>
      <c r="L1764" s="5"/>
      <c r="M1764" s="5"/>
      <c r="N1764" s="5"/>
      <c r="P1764" s="5"/>
      <c r="Q1764" s="5"/>
      <c r="R1764" s="5"/>
      <c r="S1764" s="5"/>
      <c r="U1764" s="5"/>
      <c r="W1764" s="5"/>
    </row>
    <row r="1765" spans="3:23" x14ac:dyDescent="0.2">
      <c r="C1765" s="5"/>
      <c r="I1765" s="5"/>
      <c r="L1765" s="5"/>
      <c r="M1765" s="5"/>
      <c r="N1765" s="5"/>
      <c r="P1765" s="5"/>
      <c r="Q1765" s="5"/>
      <c r="R1765" s="5"/>
      <c r="S1765" s="5"/>
      <c r="U1765" s="5"/>
      <c r="W1765" s="5"/>
    </row>
    <row r="1766" spans="3:23" x14ac:dyDescent="0.2">
      <c r="C1766" s="5"/>
      <c r="I1766" s="5"/>
      <c r="L1766" s="5"/>
      <c r="M1766" s="5"/>
      <c r="N1766" s="5"/>
      <c r="P1766" s="5"/>
      <c r="Q1766" s="5"/>
      <c r="R1766" s="5"/>
      <c r="S1766" s="5"/>
      <c r="U1766" s="5"/>
      <c r="W1766" s="5"/>
    </row>
    <row r="1767" spans="3:23" x14ac:dyDescent="0.2">
      <c r="C1767" s="5"/>
      <c r="I1767" s="5"/>
      <c r="L1767" s="5"/>
      <c r="M1767" s="5"/>
      <c r="N1767" s="5"/>
      <c r="P1767" s="5"/>
      <c r="Q1767" s="5"/>
      <c r="R1767" s="5"/>
      <c r="S1767" s="5"/>
      <c r="U1767" s="5"/>
      <c r="W1767" s="5"/>
    </row>
    <row r="1768" spans="3:23" x14ac:dyDescent="0.2">
      <c r="C1768" s="5"/>
      <c r="I1768" s="5"/>
      <c r="L1768" s="5"/>
      <c r="M1768" s="5"/>
      <c r="N1768" s="5"/>
      <c r="P1768" s="5"/>
      <c r="Q1768" s="5"/>
      <c r="R1768" s="5"/>
      <c r="S1768" s="5"/>
      <c r="U1768" s="5"/>
      <c r="W1768" s="5"/>
    </row>
    <row r="1769" spans="3:23" x14ac:dyDescent="0.2">
      <c r="C1769" s="5"/>
      <c r="I1769" s="5"/>
      <c r="L1769" s="5"/>
      <c r="M1769" s="5"/>
      <c r="N1769" s="5"/>
      <c r="P1769" s="5"/>
      <c r="Q1769" s="5"/>
      <c r="R1769" s="5"/>
      <c r="S1769" s="5"/>
      <c r="U1769" s="5"/>
      <c r="W1769" s="5"/>
    </row>
    <row r="1770" spans="3:23" x14ac:dyDescent="0.2">
      <c r="C1770" s="5"/>
      <c r="I1770" s="5"/>
      <c r="L1770" s="5"/>
      <c r="M1770" s="5"/>
      <c r="N1770" s="5"/>
      <c r="P1770" s="5"/>
      <c r="Q1770" s="5"/>
      <c r="R1770" s="5"/>
      <c r="S1770" s="5"/>
      <c r="U1770" s="5"/>
      <c r="W1770" s="5"/>
    </row>
    <row r="1771" spans="3:23" x14ac:dyDescent="0.2">
      <c r="C1771" s="5"/>
      <c r="I1771" s="5"/>
      <c r="L1771" s="5"/>
      <c r="M1771" s="5"/>
      <c r="N1771" s="5"/>
      <c r="P1771" s="5"/>
      <c r="Q1771" s="5"/>
      <c r="R1771" s="5"/>
      <c r="S1771" s="5"/>
      <c r="U1771" s="5"/>
      <c r="W1771" s="5"/>
    </row>
    <row r="1772" spans="3:23" x14ac:dyDescent="0.2">
      <c r="C1772" s="5"/>
      <c r="I1772" s="5"/>
      <c r="L1772" s="5"/>
      <c r="M1772" s="5"/>
      <c r="N1772" s="5"/>
      <c r="P1772" s="5"/>
      <c r="Q1772" s="5"/>
      <c r="R1772" s="5"/>
      <c r="S1772" s="5"/>
      <c r="U1772" s="5"/>
      <c r="W1772" s="5"/>
    </row>
    <row r="1773" spans="3:23" x14ac:dyDescent="0.2">
      <c r="C1773" s="5"/>
      <c r="I1773" s="5"/>
      <c r="L1773" s="5"/>
      <c r="M1773" s="5"/>
      <c r="N1773" s="5"/>
      <c r="P1773" s="5"/>
      <c r="Q1773" s="5"/>
      <c r="R1773" s="5"/>
      <c r="S1773" s="5"/>
      <c r="U1773" s="5"/>
      <c r="W1773" s="5"/>
    </row>
    <row r="1774" spans="3:23" x14ac:dyDescent="0.2">
      <c r="C1774" s="5"/>
      <c r="I1774" s="5"/>
      <c r="L1774" s="5"/>
      <c r="M1774" s="5"/>
      <c r="N1774" s="5"/>
      <c r="P1774" s="5"/>
      <c r="Q1774" s="5"/>
      <c r="R1774" s="5"/>
      <c r="S1774" s="5"/>
      <c r="U1774" s="5"/>
      <c r="W1774" s="5"/>
    </row>
    <row r="1775" spans="3:23" x14ac:dyDescent="0.2">
      <c r="C1775" s="5"/>
      <c r="I1775" s="5"/>
      <c r="L1775" s="5"/>
      <c r="M1775" s="5"/>
      <c r="N1775" s="5"/>
      <c r="P1775" s="5"/>
      <c r="Q1775" s="5"/>
      <c r="R1775" s="5"/>
      <c r="S1775" s="5"/>
      <c r="U1775" s="5"/>
      <c r="W1775" s="5"/>
    </row>
    <row r="1776" spans="3:23" x14ac:dyDescent="0.2">
      <c r="C1776" s="5"/>
      <c r="I1776" s="5"/>
      <c r="L1776" s="5"/>
      <c r="M1776" s="5"/>
      <c r="N1776" s="5"/>
      <c r="P1776" s="5"/>
      <c r="Q1776" s="5"/>
      <c r="R1776" s="5"/>
      <c r="S1776" s="5"/>
      <c r="U1776" s="5"/>
      <c r="W1776" s="5"/>
    </row>
    <row r="1777" spans="3:23" x14ac:dyDescent="0.2">
      <c r="C1777" s="5"/>
      <c r="I1777" s="5"/>
      <c r="L1777" s="5"/>
      <c r="M1777" s="5"/>
      <c r="N1777" s="5"/>
      <c r="P1777" s="5"/>
      <c r="Q1777" s="5"/>
      <c r="R1777" s="5"/>
      <c r="S1777" s="5"/>
      <c r="U1777" s="5"/>
      <c r="W1777" s="5"/>
    </row>
    <row r="1778" spans="3:23" x14ac:dyDescent="0.2">
      <c r="C1778" s="5"/>
      <c r="I1778" s="5"/>
      <c r="L1778" s="5"/>
      <c r="M1778" s="5"/>
      <c r="N1778" s="5"/>
      <c r="P1778" s="5"/>
      <c r="Q1778" s="5"/>
      <c r="R1778" s="5"/>
      <c r="S1778" s="5"/>
      <c r="U1778" s="5"/>
      <c r="W1778" s="5"/>
    </row>
    <row r="1779" spans="3:23" x14ac:dyDescent="0.2">
      <c r="C1779" s="5"/>
      <c r="I1779" s="5"/>
      <c r="L1779" s="5"/>
      <c r="M1779" s="5"/>
      <c r="N1779" s="5"/>
      <c r="P1779" s="5"/>
      <c r="Q1779" s="5"/>
      <c r="R1779" s="5"/>
      <c r="S1779" s="5"/>
      <c r="U1779" s="5"/>
      <c r="W1779" s="5"/>
    </row>
    <row r="1780" spans="3:23" x14ac:dyDescent="0.2">
      <c r="C1780" s="5"/>
      <c r="I1780" s="5"/>
      <c r="L1780" s="5"/>
      <c r="M1780" s="5"/>
      <c r="N1780" s="5"/>
      <c r="P1780" s="5"/>
      <c r="Q1780" s="5"/>
      <c r="R1780" s="5"/>
      <c r="S1780" s="5"/>
      <c r="U1780" s="5"/>
      <c r="W1780" s="5"/>
    </row>
    <row r="1781" spans="3:23" x14ac:dyDescent="0.2">
      <c r="C1781" s="5"/>
      <c r="I1781" s="5"/>
      <c r="L1781" s="5"/>
      <c r="M1781" s="5"/>
      <c r="N1781" s="5"/>
      <c r="P1781" s="5"/>
      <c r="Q1781" s="5"/>
      <c r="R1781" s="5"/>
      <c r="S1781" s="5"/>
      <c r="U1781" s="5"/>
      <c r="W1781" s="5"/>
    </row>
    <row r="1782" spans="3:23" x14ac:dyDescent="0.2">
      <c r="C1782" s="5"/>
      <c r="I1782" s="5"/>
      <c r="L1782" s="5"/>
      <c r="M1782" s="5"/>
      <c r="N1782" s="5"/>
      <c r="P1782" s="5"/>
      <c r="Q1782" s="5"/>
      <c r="R1782" s="5"/>
      <c r="S1782" s="5"/>
      <c r="U1782" s="5"/>
      <c r="W1782" s="5"/>
    </row>
    <row r="1783" spans="3:23" x14ac:dyDescent="0.2">
      <c r="C1783" s="5"/>
      <c r="I1783" s="5"/>
      <c r="L1783" s="5"/>
      <c r="M1783" s="5"/>
      <c r="N1783" s="5"/>
      <c r="P1783" s="5"/>
      <c r="Q1783" s="5"/>
      <c r="R1783" s="5"/>
      <c r="S1783" s="5"/>
      <c r="U1783" s="5"/>
      <c r="W1783" s="5"/>
    </row>
    <row r="1784" spans="3:23" x14ac:dyDescent="0.2">
      <c r="C1784" s="5"/>
      <c r="I1784" s="5"/>
      <c r="L1784" s="5"/>
      <c r="M1784" s="5"/>
      <c r="N1784" s="5"/>
      <c r="P1784" s="5"/>
      <c r="Q1784" s="5"/>
      <c r="R1784" s="5"/>
      <c r="S1784" s="5"/>
      <c r="U1784" s="5"/>
      <c r="W1784" s="5"/>
    </row>
    <row r="1785" spans="3:23" x14ac:dyDescent="0.2">
      <c r="C1785" s="5"/>
      <c r="I1785" s="5"/>
      <c r="L1785" s="5"/>
      <c r="M1785" s="5"/>
      <c r="N1785" s="5"/>
      <c r="P1785" s="5"/>
      <c r="Q1785" s="5"/>
      <c r="R1785" s="5"/>
      <c r="S1785" s="5"/>
      <c r="U1785" s="5"/>
      <c r="W1785" s="5"/>
    </row>
    <row r="1786" spans="3:23" x14ac:dyDescent="0.2">
      <c r="C1786" s="5"/>
      <c r="I1786" s="5"/>
      <c r="L1786" s="5"/>
      <c r="M1786" s="5"/>
      <c r="N1786" s="5"/>
      <c r="P1786" s="5"/>
      <c r="Q1786" s="5"/>
      <c r="R1786" s="5"/>
      <c r="S1786" s="5"/>
      <c r="U1786" s="5"/>
      <c r="W1786" s="5"/>
    </row>
    <row r="1787" spans="3:23" x14ac:dyDescent="0.2">
      <c r="C1787" s="5"/>
      <c r="I1787" s="5"/>
      <c r="L1787" s="5"/>
      <c r="M1787" s="5"/>
      <c r="N1787" s="5"/>
      <c r="P1787" s="5"/>
      <c r="Q1787" s="5"/>
      <c r="R1787" s="5"/>
      <c r="S1787" s="5"/>
      <c r="U1787" s="5"/>
      <c r="W1787" s="5"/>
    </row>
    <row r="1788" spans="3:23" x14ac:dyDescent="0.2">
      <c r="C1788" s="5"/>
      <c r="I1788" s="5"/>
      <c r="L1788" s="5"/>
      <c r="M1788" s="5"/>
      <c r="N1788" s="5"/>
      <c r="P1788" s="5"/>
      <c r="Q1788" s="5"/>
      <c r="R1788" s="5"/>
      <c r="S1788" s="5"/>
      <c r="U1788" s="5"/>
      <c r="W1788" s="5"/>
    </row>
    <row r="1789" spans="3:23" x14ac:dyDescent="0.2">
      <c r="C1789" s="5"/>
      <c r="I1789" s="5"/>
      <c r="L1789" s="5"/>
      <c r="M1789" s="5"/>
      <c r="N1789" s="5"/>
      <c r="P1789" s="5"/>
      <c r="Q1789" s="5"/>
      <c r="R1789" s="5"/>
      <c r="S1789" s="5"/>
      <c r="U1789" s="5"/>
      <c r="W1789" s="5"/>
    </row>
    <row r="1790" spans="3:23" x14ac:dyDescent="0.2">
      <c r="C1790" s="5"/>
      <c r="I1790" s="5"/>
      <c r="L1790" s="5"/>
      <c r="M1790" s="5"/>
      <c r="N1790" s="5"/>
      <c r="P1790" s="5"/>
      <c r="Q1790" s="5"/>
      <c r="R1790" s="5"/>
      <c r="S1790" s="5"/>
      <c r="U1790" s="5"/>
      <c r="W1790" s="5"/>
    </row>
    <row r="1791" spans="3:23" x14ac:dyDescent="0.2">
      <c r="C1791" s="5"/>
      <c r="I1791" s="5"/>
      <c r="L1791" s="5"/>
      <c r="M1791" s="5"/>
      <c r="N1791" s="5"/>
      <c r="P1791" s="5"/>
      <c r="Q1791" s="5"/>
      <c r="R1791" s="5"/>
      <c r="S1791" s="5"/>
      <c r="U1791" s="5"/>
      <c r="W1791" s="5"/>
    </row>
    <row r="1792" spans="3:23" x14ac:dyDescent="0.2">
      <c r="C1792" s="5"/>
      <c r="I1792" s="5"/>
      <c r="L1792" s="5"/>
      <c r="M1792" s="5"/>
      <c r="N1792" s="5"/>
      <c r="P1792" s="5"/>
      <c r="Q1792" s="5"/>
      <c r="R1792" s="5"/>
      <c r="S1792" s="5"/>
      <c r="U1792" s="5"/>
      <c r="W1792" s="5"/>
    </row>
    <row r="1793" spans="3:23" x14ac:dyDescent="0.2">
      <c r="C1793" s="5"/>
      <c r="I1793" s="5"/>
      <c r="L1793" s="5"/>
      <c r="M1793" s="5"/>
      <c r="N1793" s="5"/>
      <c r="P1793" s="5"/>
      <c r="Q1793" s="5"/>
      <c r="R1793" s="5"/>
      <c r="S1793" s="5"/>
      <c r="U1793" s="5"/>
      <c r="W1793" s="5"/>
    </row>
    <row r="1794" spans="3:23" x14ac:dyDescent="0.2">
      <c r="C1794" s="5"/>
      <c r="I1794" s="5"/>
      <c r="L1794" s="5"/>
      <c r="M1794" s="5"/>
      <c r="N1794" s="5"/>
      <c r="P1794" s="5"/>
      <c r="Q1794" s="5"/>
      <c r="R1794" s="5"/>
      <c r="S1794" s="5"/>
      <c r="U1794" s="5"/>
      <c r="W1794" s="5"/>
    </row>
    <row r="1795" spans="3:23" x14ac:dyDescent="0.2">
      <c r="C1795" s="5"/>
      <c r="I1795" s="5"/>
      <c r="L1795" s="5"/>
      <c r="M1795" s="5"/>
      <c r="N1795" s="5"/>
      <c r="P1795" s="5"/>
      <c r="Q1795" s="5"/>
      <c r="R1795" s="5"/>
      <c r="S1795" s="5"/>
      <c r="U1795" s="5"/>
      <c r="W1795" s="5"/>
    </row>
    <row r="1796" spans="3:23" x14ac:dyDescent="0.2">
      <c r="C1796" s="5"/>
      <c r="I1796" s="5"/>
      <c r="L1796" s="5"/>
      <c r="M1796" s="5"/>
      <c r="N1796" s="5"/>
      <c r="P1796" s="5"/>
      <c r="Q1796" s="5"/>
      <c r="R1796" s="5"/>
      <c r="S1796" s="5"/>
      <c r="U1796" s="5"/>
      <c r="W1796" s="5"/>
    </row>
    <row r="1797" spans="3:23" x14ac:dyDescent="0.2">
      <c r="C1797" s="5"/>
      <c r="I1797" s="5"/>
      <c r="L1797" s="5"/>
      <c r="M1797" s="5"/>
      <c r="N1797" s="5"/>
      <c r="P1797" s="5"/>
      <c r="Q1797" s="5"/>
      <c r="R1797" s="5"/>
      <c r="S1797" s="5"/>
      <c r="U1797" s="5"/>
      <c r="W1797" s="5"/>
    </row>
    <row r="1798" spans="3:23" x14ac:dyDescent="0.2">
      <c r="C1798" s="5"/>
      <c r="I1798" s="5"/>
      <c r="L1798" s="5"/>
      <c r="M1798" s="5"/>
      <c r="N1798" s="5"/>
      <c r="P1798" s="5"/>
      <c r="Q1798" s="5"/>
      <c r="R1798" s="5"/>
      <c r="S1798" s="5"/>
      <c r="U1798" s="5"/>
      <c r="W1798" s="5"/>
    </row>
    <row r="1799" spans="3:23" x14ac:dyDescent="0.2">
      <c r="C1799" s="5"/>
      <c r="I1799" s="5"/>
      <c r="L1799" s="5"/>
      <c r="M1799" s="5"/>
      <c r="N1799" s="5"/>
      <c r="P1799" s="5"/>
      <c r="Q1799" s="5"/>
      <c r="R1799" s="5"/>
      <c r="S1799" s="5"/>
      <c r="U1799" s="5"/>
      <c r="W1799" s="5"/>
    </row>
    <row r="1800" spans="3:23" x14ac:dyDescent="0.2">
      <c r="C1800" s="5"/>
      <c r="I1800" s="5"/>
      <c r="L1800" s="5"/>
      <c r="M1800" s="5"/>
      <c r="N1800" s="5"/>
      <c r="P1800" s="5"/>
      <c r="Q1800" s="5"/>
      <c r="R1800" s="5"/>
      <c r="S1800" s="5"/>
      <c r="U1800" s="5"/>
      <c r="W1800" s="5"/>
    </row>
    <row r="1801" spans="3:23" x14ac:dyDescent="0.2">
      <c r="C1801" s="5"/>
      <c r="I1801" s="5"/>
      <c r="L1801" s="5"/>
      <c r="M1801" s="5"/>
      <c r="N1801" s="5"/>
      <c r="P1801" s="5"/>
      <c r="Q1801" s="5"/>
      <c r="R1801" s="5"/>
      <c r="S1801" s="5"/>
      <c r="U1801" s="5"/>
      <c r="W1801" s="5"/>
    </row>
    <row r="1802" spans="3:23" x14ac:dyDescent="0.2">
      <c r="C1802" s="5"/>
      <c r="I1802" s="5"/>
      <c r="L1802" s="5"/>
      <c r="M1802" s="5"/>
      <c r="N1802" s="5"/>
      <c r="P1802" s="5"/>
      <c r="Q1802" s="5"/>
      <c r="R1802" s="5"/>
      <c r="S1802" s="5"/>
      <c r="U1802" s="5"/>
      <c r="W1802" s="5"/>
    </row>
    <row r="1803" spans="3:23" x14ac:dyDescent="0.2">
      <c r="C1803" s="5"/>
      <c r="I1803" s="5"/>
      <c r="L1803" s="5"/>
      <c r="M1803" s="5"/>
      <c r="N1803" s="5"/>
      <c r="P1803" s="5"/>
      <c r="Q1803" s="5"/>
      <c r="R1803" s="5"/>
      <c r="S1803" s="5"/>
      <c r="U1803" s="5"/>
      <c r="W1803" s="5"/>
    </row>
    <row r="1804" spans="3:23" x14ac:dyDescent="0.2">
      <c r="C1804" s="5"/>
      <c r="I1804" s="5"/>
      <c r="L1804" s="5"/>
      <c r="M1804" s="5"/>
      <c r="N1804" s="5"/>
      <c r="P1804" s="5"/>
      <c r="Q1804" s="5"/>
      <c r="R1804" s="5"/>
      <c r="S1804" s="5"/>
      <c r="U1804" s="5"/>
      <c r="W1804" s="5"/>
    </row>
    <row r="1805" spans="3:23" x14ac:dyDescent="0.2">
      <c r="C1805" s="5"/>
      <c r="I1805" s="5"/>
      <c r="L1805" s="5"/>
      <c r="M1805" s="5"/>
      <c r="N1805" s="5"/>
      <c r="P1805" s="5"/>
      <c r="Q1805" s="5"/>
      <c r="R1805" s="5"/>
      <c r="S1805" s="5"/>
      <c r="U1805" s="5"/>
      <c r="W1805" s="5"/>
    </row>
    <row r="1806" spans="3:23" x14ac:dyDescent="0.2">
      <c r="C1806" s="5"/>
      <c r="I1806" s="5"/>
      <c r="L1806" s="5"/>
      <c r="M1806" s="5"/>
      <c r="N1806" s="5"/>
      <c r="P1806" s="5"/>
      <c r="Q1806" s="5"/>
      <c r="R1806" s="5"/>
      <c r="S1806" s="5"/>
      <c r="U1806" s="5"/>
      <c r="W1806" s="5"/>
    </row>
    <row r="1807" spans="3:23" x14ac:dyDescent="0.2">
      <c r="C1807" s="5"/>
      <c r="I1807" s="5"/>
      <c r="L1807" s="5"/>
      <c r="M1807" s="5"/>
      <c r="N1807" s="5"/>
      <c r="P1807" s="5"/>
      <c r="Q1807" s="5"/>
      <c r="R1807" s="5"/>
      <c r="S1807" s="5"/>
      <c r="U1807" s="5"/>
      <c r="W1807" s="5"/>
    </row>
    <row r="1808" spans="3:23" x14ac:dyDescent="0.2">
      <c r="C1808" s="5"/>
      <c r="I1808" s="5"/>
      <c r="L1808" s="5"/>
      <c r="M1808" s="5"/>
      <c r="N1808" s="5"/>
      <c r="P1808" s="5"/>
      <c r="Q1808" s="5"/>
      <c r="R1808" s="5"/>
      <c r="S1808" s="5"/>
      <c r="U1808" s="5"/>
      <c r="W1808" s="5"/>
    </row>
    <row r="1809" spans="3:23" x14ac:dyDescent="0.2">
      <c r="C1809" s="5"/>
      <c r="I1809" s="5"/>
      <c r="L1809" s="5"/>
      <c r="M1809" s="5"/>
      <c r="N1809" s="5"/>
      <c r="P1809" s="5"/>
      <c r="Q1809" s="5"/>
      <c r="R1809" s="5"/>
      <c r="S1809" s="5"/>
      <c r="U1809" s="5"/>
      <c r="W1809" s="5"/>
    </row>
    <row r="1810" spans="3:23" x14ac:dyDescent="0.2">
      <c r="C1810" s="5"/>
      <c r="I1810" s="5"/>
      <c r="L1810" s="5"/>
      <c r="M1810" s="5"/>
      <c r="N1810" s="5"/>
      <c r="P1810" s="5"/>
      <c r="Q1810" s="5"/>
      <c r="R1810" s="5"/>
      <c r="S1810" s="5"/>
      <c r="U1810" s="5"/>
      <c r="W1810" s="5"/>
    </row>
    <row r="1811" spans="3:23" x14ac:dyDescent="0.2">
      <c r="C1811" s="5"/>
      <c r="I1811" s="5"/>
      <c r="L1811" s="5"/>
      <c r="M1811" s="5"/>
      <c r="N1811" s="5"/>
      <c r="P1811" s="5"/>
      <c r="Q1811" s="5"/>
      <c r="R1811" s="5"/>
      <c r="S1811" s="5"/>
      <c r="U1811" s="5"/>
      <c r="W1811" s="5"/>
    </row>
    <row r="1812" spans="3:23" x14ac:dyDescent="0.2">
      <c r="C1812" s="5"/>
      <c r="I1812" s="5"/>
      <c r="L1812" s="5"/>
      <c r="M1812" s="5"/>
      <c r="N1812" s="5"/>
      <c r="P1812" s="5"/>
      <c r="Q1812" s="5"/>
      <c r="R1812" s="5"/>
      <c r="S1812" s="5"/>
      <c r="U1812" s="5"/>
      <c r="W1812" s="5"/>
    </row>
    <row r="1813" spans="3:23" x14ac:dyDescent="0.2">
      <c r="C1813" s="5"/>
      <c r="I1813" s="5"/>
      <c r="L1813" s="5"/>
      <c r="M1813" s="5"/>
      <c r="N1813" s="5"/>
      <c r="P1813" s="5"/>
      <c r="Q1813" s="5"/>
      <c r="R1813" s="5"/>
      <c r="S1813" s="5"/>
      <c r="U1813" s="5"/>
      <c r="W1813" s="5"/>
    </row>
    <row r="1814" spans="3:23" x14ac:dyDescent="0.2">
      <c r="C1814" s="5"/>
      <c r="I1814" s="5"/>
      <c r="L1814" s="5"/>
      <c r="M1814" s="5"/>
      <c r="N1814" s="5"/>
      <c r="P1814" s="5"/>
      <c r="Q1814" s="5"/>
      <c r="R1814" s="5"/>
      <c r="S1814" s="5"/>
      <c r="U1814" s="5"/>
      <c r="W1814" s="5"/>
    </row>
    <row r="1815" spans="3:23" x14ac:dyDescent="0.2">
      <c r="C1815" s="5"/>
      <c r="I1815" s="5"/>
      <c r="L1815" s="5"/>
      <c r="M1815" s="5"/>
      <c r="N1815" s="5"/>
      <c r="P1815" s="5"/>
      <c r="Q1815" s="5"/>
      <c r="R1815" s="5"/>
      <c r="S1815" s="5"/>
      <c r="U1815" s="5"/>
      <c r="W1815" s="5"/>
    </row>
    <row r="1816" spans="3:23" x14ac:dyDescent="0.2">
      <c r="C1816" s="5"/>
      <c r="I1816" s="5"/>
      <c r="L1816" s="5"/>
      <c r="M1816" s="5"/>
      <c r="N1816" s="5"/>
      <c r="P1816" s="5"/>
      <c r="Q1816" s="5"/>
      <c r="R1816" s="5"/>
      <c r="S1816" s="5"/>
      <c r="U1816" s="5"/>
      <c r="W1816" s="5"/>
    </row>
    <row r="1817" spans="3:23" x14ac:dyDescent="0.2">
      <c r="C1817" s="5"/>
      <c r="I1817" s="5"/>
      <c r="L1817" s="5"/>
      <c r="M1817" s="5"/>
      <c r="N1817" s="5"/>
      <c r="P1817" s="5"/>
      <c r="Q1817" s="5"/>
      <c r="R1817" s="5"/>
      <c r="S1817" s="5"/>
      <c r="U1817" s="5"/>
      <c r="W1817" s="5"/>
    </row>
    <row r="1818" spans="3:23" x14ac:dyDescent="0.2">
      <c r="C1818" s="5"/>
      <c r="I1818" s="5"/>
      <c r="L1818" s="5"/>
      <c r="M1818" s="5"/>
      <c r="N1818" s="5"/>
      <c r="P1818" s="5"/>
      <c r="Q1818" s="5"/>
      <c r="R1818" s="5"/>
      <c r="S1818" s="5"/>
      <c r="U1818" s="5"/>
      <c r="W1818" s="5"/>
    </row>
    <row r="1819" spans="3:23" x14ac:dyDescent="0.2">
      <c r="C1819" s="5"/>
      <c r="I1819" s="5"/>
      <c r="L1819" s="5"/>
      <c r="M1819" s="5"/>
      <c r="N1819" s="5"/>
      <c r="P1819" s="5"/>
      <c r="Q1819" s="5"/>
      <c r="R1819" s="5"/>
      <c r="S1819" s="5"/>
      <c r="U1819" s="5"/>
      <c r="W1819" s="5"/>
    </row>
    <row r="1820" spans="3:23" x14ac:dyDescent="0.2">
      <c r="C1820" s="5"/>
      <c r="I1820" s="5"/>
      <c r="L1820" s="5"/>
      <c r="M1820" s="5"/>
      <c r="N1820" s="5"/>
      <c r="P1820" s="5"/>
      <c r="Q1820" s="5"/>
      <c r="R1820" s="5"/>
      <c r="S1820" s="5"/>
      <c r="U1820" s="5"/>
      <c r="W1820" s="5"/>
    </row>
    <row r="1821" spans="3:23" x14ac:dyDescent="0.2">
      <c r="C1821" s="5"/>
      <c r="I1821" s="5"/>
      <c r="L1821" s="5"/>
      <c r="M1821" s="5"/>
      <c r="N1821" s="5"/>
      <c r="P1821" s="5"/>
      <c r="Q1821" s="5"/>
      <c r="R1821" s="5"/>
      <c r="S1821" s="5"/>
      <c r="U1821" s="5"/>
      <c r="W1821" s="5"/>
    </row>
    <row r="1822" spans="3:23" x14ac:dyDescent="0.2">
      <c r="C1822" s="5"/>
      <c r="I1822" s="5"/>
      <c r="L1822" s="5"/>
      <c r="M1822" s="5"/>
      <c r="N1822" s="5"/>
      <c r="P1822" s="5"/>
      <c r="Q1822" s="5"/>
      <c r="R1822" s="5"/>
      <c r="S1822" s="5"/>
      <c r="U1822" s="5"/>
      <c r="W1822" s="5"/>
    </row>
    <row r="1823" spans="3:23" x14ac:dyDescent="0.2">
      <c r="C1823" s="5"/>
      <c r="I1823" s="5"/>
      <c r="L1823" s="5"/>
      <c r="M1823" s="5"/>
      <c r="N1823" s="5"/>
      <c r="P1823" s="5"/>
      <c r="Q1823" s="5"/>
      <c r="R1823" s="5"/>
      <c r="S1823" s="5"/>
      <c r="U1823" s="5"/>
      <c r="W1823" s="5"/>
    </row>
    <row r="1824" spans="3:23" x14ac:dyDescent="0.2">
      <c r="C1824" s="5"/>
      <c r="I1824" s="5"/>
      <c r="L1824" s="5"/>
      <c r="M1824" s="5"/>
      <c r="N1824" s="5"/>
      <c r="P1824" s="5"/>
      <c r="Q1824" s="5"/>
      <c r="R1824" s="5"/>
      <c r="S1824" s="5"/>
      <c r="U1824" s="5"/>
      <c r="W1824" s="5"/>
    </row>
    <row r="1825" spans="3:23" x14ac:dyDescent="0.2">
      <c r="C1825" s="5"/>
      <c r="I1825" s="5"/>
      <c r="L1825" s="5"/>
      <c r="M1825" s="5"/>
      <c r="N1825" s="5"/>
      <c r="P1825" s="5"/>
      <c r="Q1825" s="5"/>
      <c r="R1825" s="5"/>
      <c r="S1825" s="5"/>
      <c r="U1825" s="5"/>
      <c r="W1825" s="5"/>
    </row>
    <row r="1826" spans="3:23" x14ac:dyDescent="0.2">
      <c r="C1826" s="5"/>
      <c r="I1826" s="5"/>
      <c r="L1826" s="5"/>
      <c r="M1826" s="5"/>
      <c r="N1826" s="5"/>
      <c r="P1826" s="5"/>
      <c r="Q1826" s="5"/>
      <c r="R1826" s="5"/>
      <c r="S1826" s="5"/>
      <c r="U1826" s="5"/>
      <c r="W1826" s="5"/>
    </row>
    <row r="1827" spans="3:23" x14ac:dyDescent="0.2">
      <c r="C1827" s="5"/>
      <c r="I1827" s="5"/>
      <c r="L1827" s="5"/>
      <c r="M1827" s="5"/>
      <c r="N1827" s="5"/>
      <c r="P1827" s="5"/>
      <c r="Q1827" s="5"/>
      <c r="R1827" s="5"/>
      <c r="S1827" s="5"/>
      <c r="U1827" s="5"/>
      <c r="W1827" s="5"/>
    </row>
    <row r="1828" spans="3:23" x14ac:dyDescent="0.2">
      <c r="C1828" s="5"/>
      <c r="I1828" s="5"/>
      <c r="L1828" s="5"/>
      <c r="M1828" s="5"/>
      <c r="N1828" s="5"/>
      <c r="P1828" s="5"/>
      <c r="Q1828" s="5"/>
      <c r="R1828" s="5"/>
      <c r="S1828" s="5"/>
      <c r="U1828" s="5"/>
      <c r="W1828" s="5"/>
    </row>
    <row r="1829" spans="3:23" x14ac:dyDescent="0.2">
      <c r="C1829" s="5"/>
      <c r="I1829" s="5"/>
      <c r="L1829" s="5"/>
      <c r="M1829" s="5"/>
      <c r="N1829" s="5"/>
      <c r="P1829" s="5"/>
      <c r="Q1829" s="5"/>
      <c r="R1829" s="5"/>
      <c r="S1829" s="5"/>
      <c r="U1829" s="5"/>
      <c r="W1829" s="5"/>
    </row>
    <row r="1830" spans="3:23" x14ac:dyDescent="0.2">
      <c r="C1830" s="5"/>
      <c r="I1830" s="5"/>
      <c r="L1830" s="5"/>
      <c r="M1830" s="5"/>
      <c r="N1830" s="5"/>
      <c r="P1830" s="5"/>
      <c r="Q1830" s="5"/>
      <c r="R1830" s="5"/>
      <c r="S1830" s="5"/>
      <c r="U1830" s="5"/>
      <c r="W1830" s="5"/>
    </row>
    <row r="1831" spans="3:23" x14ac:dyDescent="0.2">
      <c r="C1831" s="5"/>
      <c r="I1831" s="5"/>
      <c r="L1831" s="5"/>
      <c r="M1831" s="5"/>
      <c r="N1831" s="5"/>
      <c r="P1831" s="5"/>
      <c r="Q1831" s="5"/>
      <c r="R1831" s="5"/>
      <c r="S1831" s="5"/>
      <c r="U1831" s="5"/>
      <c r="W1831" s="5"/>
    </row>
    <row r="1832" spans="3:23" x14ac:dyDescent="0.2">
      <c r="C1832" s="5"/>
      <c r="I1832" s="5"/>
      <c r="L1832" s="5"/>
      <c r="M1832" s="5"/>
      <c r="N1832" s="5"/>
      <c r="P1832" s="5"/>
      <c r="Q1832" s="5"/>
      <c r="R1832" s="5"/>
      <c r="S1832" s="5"/>
      <c r="U1832" s="5"/>
      <c r="W1832" s="5"/>
    </row>
    <row r="1833" spans="3:23" x14ac:dyDescent="0.2">
      <c r="C1833" s="5"/>
      <c r="I1833" s="5"/>
      <c r="L1833" s="5"/>
      <c r="M1833" s="5"/>
      <c r="N1833" s="5"/>
      <c r="P1833" s="5"/>
      <c r="Q1833" s="5"/>
      <c r="R1833" s="5"/>
      <c r="S1833" s="5"/>
      <c r="U1833" s="5"/>
      <c r="W1833" s="5"/>
    </row>
    <row r="1834" spans="3:23" x14ac:dyDescent="0.2">
      <c r="C1834" s="5"/>
      <c r="I1834" s="5"/>
      <c r="L1834" s="5"/>
      <c r="M1834" s="5"/>
      <c r="N1834" s="5"/>
      <c r="P1834" s="5"/>
      <c r="Q1834" s="5"/>
      <c r="R1834" s="5"/>
      <c r="S1834" s="5"/>
      <c r="U1834" s="5"/>
      <c r="W1834" s="5"/>
    </row>
    <row r="1835" spans="3:23" x14ac:dyDescent="0.2">
      <c r="C1835" s="5"/>
      <c r="I1835" s="5"/>
      <c r="L1835" s="5"/>
      <c r="M1835" s="5"/>
      <c r="N1835" s="5"/>
      <c r="P1835" s="5"/>
      <c r="Q1835" s="5"/>
      <c r="R1835" s="5"/>
      <c r="S1835" s="5"/>
      <c r="U1835" s="5"/>
      <c r="W1835" s="5"/>
    </row>
    <row r="1836" spans="3:23" x14ac:dyDescent="0.2">
      <c r="C1836" s="5"/>
      <c r="I1836" s="5"/>
      <c r="L1836" s="5"/>
      <c r="M1836" s="5"/>
      <c r="N1836" s="5"/>
      <c r="P1836" s="5"/>
      <c r="Q1836" s="5"/>
      <c r="R1836" s="5"/>
      <c r="S1836" s="5"/>
      <c r="U1836" s="5"/>
      <c r="W1836" s="5"/>
    </row>
    <row r="1837" spans="3:23" x14ac:dyDescent="0.2">
      <c r="C1837" s="5"/>
      <c r="I1837" s="5"/>
      <c r="L1837" s="5"/>
      <c r="M1837" s="5"/>
      <c r="N1837" s="5"/>
      <c r="P1837" s="5"/>
      <c r="Q1837" s="5"/>
      <c r="R1837" s="5"/>
      <c r="S1837" s="5"/>
      <c r="U1837" s="5"/>
      <c r="W1837" s="5"/>
    </row>
    <row r="1838" spans="3:23" x14ac:dyDescent="0.2">
      <c r="C1838" s="5"/>
      <c r="I1838" s="5"/>
      <c r="L1838" s="5"/>
      <c r="M1838" s="5"/>
      <c r="N1838" s="5"/>
      <c r="P1838" s="5"/>
      <c r="Q1838" s="5"/>
      <c r="R1838" s="5"/>
      <c r="S1838" s="5"/>
      <c r="U1838" s="5"/>
      <c r="W1838" s="5"/>
    </row>
    <row r="1839" spans="3:23" x14ac:dyDescent="0.2">
      <c r="C1839" s="5"/>
      <c r="I1839" s="5"/>
      <c r="L1839" s="5"/>
      <c r="M1839" s="5"/>
      <c r="N1839" s="5"/>
      <c r="P1839" s="5"/>
      <c r="Q1839" s="5"/>
      <c r="R1839" s="5"/>
      <c r="S1839" s="5"/>
      <c r="U1839" s="5"/>
      <c r="W1839" s="5"/>
    </row>
    <row r="1840" spans="3:23" x14ac:dyDescent="0.2">
      <c r="C1840" s="5"/>
      <c r="I1840" s="5"/>
      <c r="L1840" s="5"/>
      <c r="M1840" s="5"/>
      <c r="N1840" s="5"/>
      <c r="P1840" s="5"/>
      <c r="Q1840" s="5"/>
      <c r="R1840" s="5"/>
      <c r="S1840" s="5"/>
      <c r="U1840" s="5"/>
      <c r="W1840" s="5"/>
    </row>
    <row r="1841" spans="3:23" x14ac:dyDescent="0.2">
      <c r="C1841" s="5"/>
      <c r="I1841" s="5"/>
      <c r="L1841" s="5"/>
      <c r="M1841" s="5"/>
      <c r="N1841" s="5"/>
      <c r="P1841" s="5"/>
      <c r="Q1841" s="5"/>
      <c r="R1841" s="5"/>
      <c r="S1841" s="5"/>
      <c r="U1841" s="5"/>
      <c r="W1841" s="5"/>
    </row>
    <row r="1842" spans="3:23" x14ac:dyDescent="0.2">
      <c r="C1842" s="5"/>
      <c r="I1842" s="5"/>
      <c r="L1842" s="5"/>
      <c r="M1842" s="5"/>
      <c r="N1842" s="5"/>
      <c r="P1842" s="5"/>
      <c r="Q1842" s="5"/>
      <c r="R1842" s="5"/>
      <c r="S1842" s="5"/>
      <c r="U1842" s="5"/>
      <c r="W1842" s="5"/>
    </row>
    <row r="1843" spans="3:23" x14ac:dyDescent="0.2">
      <c r="C1843" s="5"/>
      <c r="I1843" s="5"/>
      <c r="L1843" s="5"/>
      <c r="M1843" s="5"/>
      <c r="N1843" s="5"/>
      <c r="P1843" s="5"/>
      <c r="Q1843" s="5"/>
      <c r="R1843" s="5"/>
      <c r="S1843" s="5"/>
      <c r="U1843" s="5"/>
      <c r="W1843" s="5"/>
    </row>
    <row r="1844" spans="3:23" x14ac:dyDescent="0.2">
      <c r="C1844" s="5"/>
      <c r="I1844" s="5"/>
      <c r="L1844" s="5"/>
      <c r="M1844" s="5"/>
      <c r="N1844" s="5"/>
      <c r="P1844" s="5"/>
      <c r="Q1844" s="5"/>
      <c r="R1844" s="5"/>
      <c r="S1844" s="5"/>
      <c r="U1844" s="5"/>
      <c r="W1844" s="5"/>
    </row>
    <row r="1845" spans="3:23" x14ac:dyDescent="0.2">
      <c r="C1845" s="5"/>
      <c r="I1845" s="5"/>
      <c r="L1845" s="5"/>
      <c r="M1845" s="5"/>
      <c r="N1845" s="5"/>
      <c r="P1845" s="5"/>
      <c r="Q1845" s="5"/>
      <c r="R1845" s="5"/>
      <c r="S1845" s="5"/>
      <c r="U1845" s="5"/>
      <c r="W1845" s="5"/>
    </row>
    <row r="1846" spans="3:23" x14ac:dyDescent="0.2">
      <c r="C1846" s="5"/>
      <c r="I1846" s="5"/>
      <c r="L1846" s="5"/>
      <c r="M1846" s="5"/>
      <c r="N1846" s="5"/>
      <c r="P1846" s="5"/>
      <c r="Q1846" s="5"/>
      <c r="R1846" s="5"/>
      <c r="S1846" s="5"/>
      <c r="U1846" s="5"/>
      <c r="W1846" s="5"/>
    </row>
    <row r="1847" spans="3:23" x14ac:dyDescent="0.2">
      <c r="C1847" s="5"/>
      <c r="I1847" s="5"/>
      <c r="L1847" s="5"/>
      <c r="M1847" s="5"/>
      <c r="N1847" s="5"/>
      <c r="P1847" s="5"/>
      <c r="Q1847" s="5"/>
      <c r="R1847" s="5"/>
      <c r="S1847" s="5"/>
      <c r="U1847" s="5"/>
      <c r="W1847" s="5"/>
    </row>
    <row r="1848" spans="3:23" x14ac:dyDescent="0.2">
      <c r="C1848" s="5"/>
      <c r="I1848" s="5"/>
      <c r="L1848" s="5"/>
      <c r="M1848" s="5"/>
      <c r="N1848" s="5"/>
      <c r="P1848" s="5"/>
      <c r="Q1848" s="5"/>
      <c r="R1848" s="5"/>
      <c r="S1848" s="5"/>
      <c r="U1848" s="5"/>
      <c r="W1848" s="5"/>
    </row>
    <row r="1849" spans="3:23" x14ac:dyDescent="0.2">
      <c r="C1849" s="5"/>
      <c r="I1849" s="5"/>
      <c r="L1849" s="5"/>
      <c r="M1849" s="5"/>
      <c r="N1849" s="5"/>
      <c r="P1849" s="5"/>
      <c r="Q1849" s="5"/>
      <c r="R1849" s="5"/>
      <c r="S1849" s="5"/>
      <c r="U1849" s="5"/>
      <c r="W1849" s="5"/>
    </row>
    <row r="1850" spans="3:23" x14ac:dyDescent="0.2">
      <c r="C1850" s="5"/>
      <c r="I1850" s="5"/>
      <c r="L1850" s="5"/>
      <c r="M1850" s="5"/>
      <c r="N1850" s="5"/>
      <c r="P1850" s="5"/>
      <c r="Q1850" s="5"/>
      <c r="R1850" s="5"/>
      <c r="S1850" s="5"/>
      <c r="U1850" s="5"/>
      <c r="W1850" s="5"/>
    </row>
    <row r="1851" spans="3:23" x14ac:dyDescent="0.2">
      <c r="C1851" s="5"/>
      <c r="I1851" s="5"/>
      <c r="L1851" s="5"/>
      <c r="M1851" s="5"/>
      <c r="N1851" s="5"/>
      <c r="P1851" s="5"/>
      <c r="Q1851" s="5"/>
      <c r="R1851" s="5"/>
      <c r="S1851" s="5"/>
      <c r="U1851" s="5"/>
      <c r="W1851" s="5"/>
    </row>
    <row r="1852" spans="3:23" x14ac:dyDescent="0.2">
      <c r="C1852" s="5"/>
      <c r="I1852" s="5"/>
      <c r="L1852" s="5"/>
      <c r="M1852" s="5"/>
      <c r="N1852" s="5"/>
      <c r="P1852" s="5"/>
      <c r="Q1852" s="5"/>
      <c r="R1852" s="5"/>
      <c r="S1852" s="5"/>
      <c r="U1852" s="5"/>
      <c r="W1852" s="5"/>
    </row>
    <row r="1853" spans="3:23" x14ac:dyDescent="0.2">
      <c r="C1853" s="5"/>
      <c r="I1853" s="5"/>
      <c r="L1853" s="5"/>
      <c r="M1853" s="5"/>
      <c r="N1853" s="5"/>
      <c r="P1853" s="5"/>
      <c r="Q1853" s="5"/>
      <c r="R1853" s="5"/>
      <c r="S1853" s="5"/>
      <c r="U1853" s="5"/>
      <c r="W1853" s="5"/>
    </row>
    <row r="1854" spans="3:23" x14ac:dyDescent="0.2">
      <c r="C1854" s="5"/>
      <c r="I1854" s="5"/>
      <c r="L1854" s="5"/>
      <c r="M1854" s="5"/>
      <c r="N1854" s="5"/>
      <c r="P1854" s="5"/>
      <c r="Q1854" s="5"/>
      <c r="R1854" s="5"/>
      <c r="S1854" s="5"/>
      <c r="U1854" s="5"/>
      <c r="W1854" s="5"/>
    </row>
    <row r="1855" spans="3:23" x14ac:dyDescent="0.2">
      <c r="C1855" s="5"/>
      <c r="I1855" s="5"/>
      <c r="L1855" s="5"/>
      <c r="M1855" s="5"/>
      <c r="N1855" s="5"/>
      <c r="P1855" s="5"/>
      <c r="Q1855" s="5"/>
      <c r="R1855" s="5"/>
      <c r="S1855" s="5"/>
      <c r="U1855" s="5"/>
      <c r="W1855" s="5"/>
    </row>
    <row r="1856" spans="3:23" x14ac:dyDescent="0.2">
      <c r="C1856" s="5"/>
      <c r="I1856" s="5"/>
      <c r="L1856" s="5"/>
      <c r="M1856" s="5"/>
      <c r="N1856" s="5"/>
      <c r="P1856" s="5"/>
      <c r="Q1856" s="5"/>
      <c r="R1856" s="5"/>
      <c r="S1856" s="5"/>
      <c r="U1856" s="5"/>
      <c r="W1856" s="5"/>
    </row>
    <row r="1857" spans="3:23" x14ac:dyDescent="0.2">
      <c r="C1857" s="5"/>
      <c r="I1857" s="5"/>
      <c r="L1857" s="5"/>
      <c r="M1857" s="5"/>
      <c r="N1857" s="5"/>
      <c r="P1857" s="5"/>
      <c r="Q1857" s="5"/>
      <c r="R1857" s="5"/>
      <c r="S1857" s="5"/>
      <c r="U1857" s="5"/>
      <c r="W1857" s="5"/>
    </row>
    <row r="1858" spans="3:23" x14ac:dyDescent="0.2">
      <c r="C1858" s="5"/>
      <c r="I1858" s="5"/>
      <c r="L1858" s="5"/>
      <c r="M1858" s="5"/>
      <c r="N1858" s="5"/>
      <c r="P1858" s="5"/>
      <c r="Q1858" s="5"/>
      <c r="R1858" s="5"/>
      <c r="S1858" s="5"/>
      <c r="U1858" s="5"/>
      <c r="W1858" s="5"/>
    </row>
    <row r="1859" spans="3:23" x14ac:dyDescent="0.2">
      <c r="C1859" s="5"/>
      <c r="I1859" s="5"/>
      <c r="L1859" s="5"/>
      <c r="M1859" s="5"/>
      <c r="N1859" s="5"/>
      <c r="P1859" s="5"/>
      <c r="Q1859" s="5"/>
      <c r="R1859" s="5"/>
      <c r="S1859" s="5"/>
      <c r="U1859" s="5"/>
      <c r="W1859" s="5"/>
    </row>
    <row r="1860" spans="3:23" x14ac:dyDescent="0.2">
      <c r="C1860" s="5"/>
      <c r="I1860" s="5"/>
      <c r="L1860" s="5"/>
      <c r="M1860" s="5"/>
      <c r="N1860" s="5"/>
      <c r="P1860" s="5"/>
      <c r="Q1860" s="5"/>
      <c r="R1860" s="5"/>
      <c r="S1860" s="5"/>
      <c r="U1860" s="5"/>
      <c r="W1860" s="5"/>
    </row>
    <row r="1861" spans="3:23" x14ac:dyDescent="0.2">
      <c r="C1861" s="5"/>
      <c r="I1861" s="5"/>
      <c r="L1861" s="5"/>
      <c r="M1861" s="5"/>
      <c r="N1861" s="5"/>
      <c r="P1861" s="5"/>
      <c r="Q1861" s="5"/>
      <c r="R1861" s="5"/>
      <c r="S1861" s="5"/>
      <c r="U1861" s="5"/>
      <c r="W1861" s="5"/>
    </row>
    <row r="1862" spans="3:23" x14ac:dyDescent="0.2">
      <c r="C1862" s="5"/>
      <c r="I1862" s="5"/>
      <c r="L1862" s="5"/>
      <c r="M1862" s="5"/>
      <c r="N1862" s="5"/>
      <c r="P1862" s="5"/>
      <c r="Q1862" s="5"/>
      <c r="R1862" s="5"/>
      <c r="S1862" s="5"/>
      <c r="U1862" s="5"/>
      <c r="W1862" s="5"/>
    </row>
    <row r="1863" spans="3:23" x14ac:dyDescent="0.2">
      <c r="C1863" s="5"/>
      <c r="I1863" s="5"/>
      <c r="L1863" s="5"/>
      <c r="M1863" s="5"/>
      <c r="N1863" s="5"/>
      <c r="P1863" s="5"/>
      <c r="Q1863" s="5"/>
      <c r="R1863" s="5"/>
      <c r="S1863" s="5"/>
      <c r="U1863" s="5"/>
      <c r="W1863" s="5"/>
    </row>
    <row r="1864" spans="3:23" x14ac:dyDescent="0.2">
      <c r="C1864" s="5"/>
      <c r="I1864" s="5"/>
      <c r="L1864" s="5"/>
      <c r="M1864" s="5"/>
      <c r="N1864" s="5"/>
      <c r="P1864" s="5"/>
      <c r="Q1864" s="5"/>
      <c r="R1864" s="5"/>
      <c r="S1864" s="5"/>
      <c r="U1864" s="5"/>
      <c r="W1864" s="5"/>
    </row>
    <row r="1865" spans="3:23" x14ac:dyDescent="0.2">
      <c r="C1865" s="5"/>
      <c r="I1865" s="5"/>
      <c r="L1865" s="5"/>
      <c r="M1865" s="5"/>
      <c r="N1865" s="5"/>
      <c r="P1865" s="5"/>
      <c r="Q1865" s="5"/>
      <c r="R1865" s="5"/>
      <c r="S1865" s="5"/>
      <c r="U1865" s="5"/>
      <c r="W1865" s="5"/>
    </row>
    <row r="1866" spans="3:23" x14ac:dyDescent="0.2">
      <c r="C1866" s="5"/>
      <c r="I1866" s="5"/>
      <c r="L1866" s="5"/>
      <c r="M1866" s="5"/>
      <c r="N1866" s="5"/>
      <c r="P1866" s="5"/>
      <c r="Q1866" s="5"/>
      <c r="R1866" s="5"/>
      <c r="S1866" s="5"/>
      <c r="U1866" s="5"/>
      <c r="W1866" s="5"/>
    </row>
    <row r="1867" spans="3:23" x14ac:dyDescent="0.2">
      <c r="C1867" s="5"/>
      <c r="I1867" s="5"/>
      <c r="L1867" s="5"/>
      <c r="M1867" s="5"/>
      <c r="N1867" s="5"/>
      <c r="P1867" s="5"/>
      <c r="Q1867" s="5"/>
      <c r="R1867" s="5"/>
      <c r="S1867" s="5"/>
      <c r="U1867" s="5"/>
      <c r="W1867" s="5"/>
    </row>
    <row r="1868" spans="3:23" x14ac:dyDescent="0.2">
      <c r="C1868" s="5"/>
      <c r="I1868" s="5"/>
      <c r="L1868" s="5"/>
      <c r="M1868" s="5"/>
      <c r="N1868" s="5"/>
      <c r="P1868" s="5"/>
      <c r="Q1868" s="5"/>
      <c r="R1868" s="5"/>
      <c r="S1868" s="5"/>
      <c r="U1868" s="5"/>
      <c r="W1868" s="5"/>
    </row>
    <row r="1869" spans="3:23" x14ac:dyDescent="0.2">
      <c r="C1869" s="5"/>
      <c r="I1869" s="5"/>
      <c r="L1869" s="5"/>
      <c r="M1869" s="5"/>
      <c r="N1869" s="5"/>
      <c r="P1869" s="5"/>
      <c r="Q1869" s="5"/>
      <c r="R1869" s="5"/>
      <c r="S1869" s="5"/>
      <c r="U1869" s="5"/>
      <c r="W1869" s="5"/>
    </row>
    <row r="1870" spans="3:23" x14ac:dyDescent="0.2">
      <c r="C1870" s="5"/>
      <c r="I1870" s="5"/>
      <c r="L1870" s="5"/>
      <c r="M1870" s="5"/>
      <c r="N1870" s="5"/>
      <c r="P1870" s="5"/>
      <c r="Q1870" s="5"/>
      <c r="R1870" s="5"/>
      <c r="S1870" s="5"/>
      <c r="U1870" s="5"/>
      <c r="W1870" s="5"/>
    </row>
    <row r="1871" spans="3:23" x14ac:dyDescent="0.2">
      <c r="C1871" s="5"/>
      <c r="I1871" s="5"/>
      <c r="L1871" s="5"/>
      <c r="M1871" s="5"/>
      <c r="N1871" s="5"/>
      <c r="P1871" s="5"/>
      <c r="Q1871" s="5"/>
      <c r="R1871" s="5"/>
      <c r="S1871" s="5"/>
      <c r="U1871" s="5"/>
      <c r="W1871" s="5"/>
    </row>
    <row r="1872" spans="3:23" x14ac:dyDescent="0.2">
      <c r="C1872" s="5"/>
      <c r="I1872" s="5"/>
      <c r="L1872" s="5"/>
      <c r="M1872" s="5"/>
      <c r="N1872" s="5"/>
      <c r="P1872" s="5"/>
      <c r="Q1872" s="5"/>
      <c r="R1872" s="5"/>
      <c r="S1872" s="5"/>
      <c r="U1872" s="5"/>
      <c r="W1872" s="5"/>
    </row>
    <row r="1873" spans="3:23" x14ac:dyDescent="0.2">
      <c r="C1873" s="5"/>
      <c r="I1873" s="5"/>
      <c r="L1873" s="5"/>
      <c r="M1873" s="5"/>
      <c r="N1873" s="5"/>
      <c r="P1873" s="5"/>
      <c r="Q1873" s="5"/>
      <c r="R1873" s="5"/>
      <c r="S1873" s="5"/>
      <c r="U1873" s="5"/>
      <c r="W1873" s="5"/>
    </row>
    <row r="1874" spans="3:23" x14ac:dyDescent="0.2">
      <c r="C1874" s="5"/>
      <c r="I1874" s="5"/>
      <c r="L1874" s="5"/>
      <c r="M1874" s="5"/>
      <c r="N1874" s="5"/>
      <c r="P1874" s="5"/>
      <c r="Q1874" s="5"/>
      <c r="R1874" s="5"/>
      <c r="S1874" s="5"/>
      <c r="U1874" s="5"/>
      <c r="W1874" s="5"/>
    </row>
    <row r="1875" spans="3:23" x14ac:dyDescent="0.2">
      <c r="C1875" s="5"/>
      <c r="I1875" s="5"/>
      <c r="L1875" s="5"/>
      <c r="M1875" s="5"/>
      <c r="N1875" s="5"/>
      <c r="P1875" s="5"/>
      <c r="Q1875" s="5"/>
      <c r="R1875" s="5"/>
      <c r="S1875" s="5"/>
      <c r="U1875" s="5"/>
      <c r="W1875" s="5"/>
    </row>
    <row r="1876" spans="3:23" x14ac:dyDescent="0.2">
      <c r="C1876" s="5"/>
      <c r="I1876" s="5"/>
      <c r="L1876" s="5"/>
      <c r="M1876" s="5"/>
      <c r="N1876" s="5"/>
      <c r="P1876" s="5"/>
      <c r="Q1876" s="5"/>
      <c r="R1876" s="5"/>
      <c r="S1876" s="5"/>
      <c r="U1876" s="5"/>
      <c r="W1876" s="5"/>
    </row>
    <row r="1877" spans="3:23" x14ac:dyDescent="0.2">
      <c r="C1877" s="5"/>
      <c r="I1877" s="5"/>
      <c r="L1877" s="5"/>
      <c r="M1877" s="5"/>
      <c r="N1877" s="5"/>
      <c r="P1877" s="5"/>
      <c r="Q1877" s="5"/>
      <c r="R1877" s="5"/>
      <c r="S1877" s="5"/>
      <c r="U1877" s="5"/>
      <c r="W1877" s="5"/>
    </row>
    <row r="1878" spans="3:23" x14ac:dyDescent="0.2">
      <c r="C1878" s="5"/>
      <c r="I1878" s="5"/>
      <c r="L1878" s="5"/>
      <c r="M1878" s="5"/>
      <c r="N1878" s="5"/>
      <c r="P1878" s="5"/>
      <c r="Q1878" s="5"/>
      <c r="R1878" s="5"/>
      <c r="S1878" s="5"/>
      <c r="U1878" s="5"/>
      <c r="W1878" s="5"/>
    </row>
    <row r="1879" spans="3:23" x14ac:dyDescent="0.2">
      <c r="C1879" s="5"/>
      <c r="I1879" s="5"/>
      <c r="L1879" s="5"/>
      <c r="M1879" s="5"/>
      <c r="N1879" s="5"/>
      <c r="P1879" s="5"/>
      <c r="Q1879" s="5"/>
      <c r="R1879" s="5"/>
      <c r="S1879" s="5"/>
      <c r="U1879" s="5"/>
      <c r="W1879" s="5"/>
    </row>
    <row r="1880" spans="3:23" x14ac:dyDescent="0.2">
      <c r="C1880" s="5"/>
      <c r="I1880" s="5"/>
      <c r="L1880" s="5"/>
      <c r="M1880" s="5"/>
      <c r="N1880" s="5"/>
      <c r="P1880" s="5"/>
      <c r="Q1880" s="5"/>
      <c r="R1880" s="5"/>
      <c r="S1880" s="5"/>
      <c r="U1880" s="5"/>
      <c r="W1880" s="5"/>
    </row>
    <row r="1881" spans="3:23" x14ac:dyDescent="0.2">
      <c r="C1881" s="5"/>
      <c r="I1881" s="5"/>
      <c r="L1881" s="5"/>
      <c r="M1881" s="5"/>
      <c r="N1881" s="5"/>
      <c r="P1881" s="5"/>
      <c r="Q1881" s="5"/>
      <c r="R1881" s="5"/>
      <c r="S1881" s="5"/>
      <c r="U1881" s="5"/>
      <c r="W1881" s="5"/>
    </row>
    <row r="1882" spans="3:23" x14ac:dyDescent="0.2">
      <c r="C1882" s="5"/>
      <c r="I1882" s="5"/>
      <c r="L1882" s="5"/>
      <c r="M1882" s="5"/>
      <c r="N1882" s="5"/>
      <c r="P1882" s="5"/>
      <c r="Q1882" s="5"/>
      <c r="R1882" s="5"/>
      <c r="S1882" s="5"/>
      <c r="U1882" s="5"/>
      <c r="W1882" s="5"/>
    </row>
    <row r="1883" spans="3:23" x14ac:dyDescent="0.2">
      <c r="C1883" s="5"/>
      <c r="I1883" s="5"/>
      <c r="L1883" s="5"/>
      <c r="M1883" s="5"/>
      <c r="N1883" s="5"/>
      <c r="P1883" s="5"/>
      <c r="Q1883" s="5"/>
      <c r="R1883" s="5"/>
      <c r="S1883" s="5"/>
      <c r="U1883" s="5"/>
      <c r="W1883" s="5"/>
    </row>
    <row r="1884" spans="3:23" x14ac:dyDescent="0.2">
      <c r="C1884" s="5"/>
      <c r="I1884" s="5"/>
      <c r="L1884" s="5"/>
      <c r="M1884" s="5"/>
      <c r="N1884" s="5"/>
      <c r="P1884" s="5"/>
      <c r="Q1884" s="5"/>
      <c r="R1884" s="5"/>
      <c r="S1884" s="5"/>
      <c r="U1884" s="5"/>
      <c r="W1884" s="5"/>
    </row>
    <row r="1885" spans="3:23" x14ac:dyDescent="0.2">
      <c r="C1885" s="5"/>
      <c r="I1885" s="5"/>
      <c r="L1885" s="5"/>
      <c r="M1885" s="5"/>
      <c r="N1885" s="5"/>
      <c r="P1885" s="5"/>
      <c r="Q1885" s="5"/>
      <c r="R1885" s="5"/>
      <c r="S1885" s="5"/>
      <c r="U1885" s="5"/>
      <c r="W1885" s="5"/>
    </row>
    <row r="1886" spans="3:23" x14ac:dyDescent="0.2">
      <c r="C1886" s="5"/>
      <c r="I1886" s="5"/>
      <c r="L1886" s="5"/>
      <c r="M1886" s="5"/>
      <c r="N1886" s="5"/>
      <c r="P1886" s="5"/>
      <c r="Q1886" s="5"/>
      <c r="R1886" s="5"/>
      <c r="S1886" s="5"/>
      <c r="U1886" s="5"/>
      <c r="W1886" s="5"/>
    </row>
    <row r="1887" spans="3:23" x14ac:dyDescent="0.2">
      <c r="C1887" s="5"/>
      <c r="I1887" s="5"/>
      <c r="L1887" s="5"/>
      <c r="M1887" s="5"/>
      <c r="N1887" s="5"/>
      <c r="P1887" s="5"/>
      <c r="Q1887" s="5"/>
      <c r="R1887" s="5"/>
      <c r="S1887" s="5"/>
      <c r="U1887" s="5"/>
      <c r="W1887" s="5"/>
    </row>
    <row r="1888" spans="3:23" x14ac:dyDescent="0.2">
      <c r="C1888" s="5"/>
      <c r="I1888" s="5"/>
      <c r="L1888" s="5"/>
      <c r="M1888" s="5"/>
      <c r="N1888" s="5"/>
      <c r="P1888" s="5"/>
      <c r="Q1888" s="5"/>
      <c r="R1888" s="5"/>
      <c r="S1888" s="5"/>
      <c r="U1888" s="5"/>
      <c r="W1888" s="5"/>
    </row>
    <row r="1889" spans="3:23" x14ac:dyDescent="0.2">
      <c r="C1889" s="5"/>
      <c r="I1889" s="5"/>
      <c r="L1889" s="5"/>
      <c r="M1889" s="5"/>
      <c r="N1889" s="5"/>
      <c r="P1889" s="5"/>
      <c r="Q1889" s="5"/>
      <c r="R1889" s="5"/>
      <c r="S1889" s="5"/>
      <c r="U1889" s="5"/>
      <c r="W1889" s="5"/>
    </row>
    <row r="1890" spans="3:23" x14ac:dyDescent="0.2">
      <c r="C1890" s="5"/>
      <c r="I1890" s="5"/>
      <c r="L1890" s="5"/>
      <c r="M1890" s="5"/>
      <c r="N1890" s="5"/>
      <c r="P1890" s="5"/>
      <c r="Q1890" s="5"/>
      <c r="R1890" s="5"/>
      <c r="S1890" s="5"/>
      <c r="U1890" s="5"/>
      <c r="W1890" s="5"/>
    </row>
    <row r="1891" spans="3:23" x14ac:dyDescent="0.2">
      <c r="C1891" s="5"/>
      <c r="I1891" s="5"/>
      <c r="L1891" s="5"/>
      <c r="M1891" s="5"/>
      <c r="N1891" s="5"/>
      <c r="P1891" s="5"/>
      <c r="Q1891" s="5"/>
      <c r="R1891" s="5"/>
      <c r="S1891" s="5"/>
      <c r="U1891" s="5"/>
      <c r="W1891" s="5"/>
    </row>
    <row r="1892" spans="3:23" x14ac:dyDescent="0.2">
      <c r="C1892" s="5"/>
      <c r="I1892" s="5"/>
      <c r="L1892" s="5"/>
      <c r="M1892" s="5"/>
      <c r="N1892" s="5"/>
      <c r="P1892" s="5"/>
      <c r="Q1892" s="5"/>
      <c r="R1892" s="5"/>
      <c r="S1892" s="5"/>
      <c r="U1892" s="5"/>
      <c r="W1892" s="5"/>
    </row>
    <row r="1893" spans="3:23" x14ac:dyDescent="0.2">
      <c r="C1893" s="5"/>
      <c r="I1893" s="5"/>
      <c r="L1893" s="5"/>
      <c r="M1893" s="5"/>
      <c r="N1893" s="5"/>
      <c r="P1893" s="5"/>
      <c r="Q1893" s="5"/>
      <c r="R1893" s="5"/>
      <c r="S1893" s="5"/>
      <c r="U1893" s="5"/>
      <c r="W1893" s="5"/>
    </row>
    <row r="1894" spans="3:23" x14ac:dyDescent="0.2">
      <c r="C1894" s="5"/>
      <c r="I1894" s="5"/>
      <c r="L1894" s="5"/>
      <c r="M1894" s="5"/>
      <c r="N1894" s="5"/>
      <c r="P1894" s="5"/>
      <c r="Q1894" s="5"/>
      <c r="R1894" s="5"/>
      <c r="S1894" s="5"/>
      <c r="U1894" s="5"/>
      <c r="W1894" s="5"/>
    </row>
    <row r="1895" spans="3:23" x14ac:dyDescent="0.2">
      <c r="C1895" s="5"/>
      <c r="I1895" s="5"/>
      <c r="L1895" s="5"/>
      <c r="M1895" s="5"/>
      <c r="N1895" s="5"/>
      <c r="P1895" s="5"/>
      <c r="Q1895" s="5"/>
      <c r="R1895" s="5"/>
      <c r="S1895" s="5"/>
      <c r="U1895" s="5"/>
      <c r="W1895" s="5"/>
    </row>
    <row r="1896" spans="3:23" x14ac:dyDescent="0.2">
      <c r="C1896" s="5"/>
      <c r="I1896" s="5"/>
      <c r="L1896" s="5"/>
      <c r="M1896" s="5"/>
      <c r="N1896" s="5"/>
      <c r="P1896" s="5"/>
      <c r="Q1896" s="5"/>
      <c r="R1896" s="5"/>
      <c r="S1896" s="5"/>
      <c r="U1896" s="5"/>
      <c r="W1896" s="5"/>
    </row>
    <row r="1897" spans="3:23" x14ac:dyDescent="0.2">
      <c r="C1897" s="5"/>
      <c r="I1897" s="5"/>
      <c r="L1897" s="5"/>
      <c r="M1897" s="5"/>
      <c r="N1897" s="5"/>
      <c r="P1897" s="5"/>
      <c r="Q1897" s="5"/>
      <c r="R1897" s="5"/>
      <c r="S1897" s="5"/>
      <c r="U1897" s="5"/>
      <c r="W1897" s="5"/>
    </row>
    <row r="1898" spans="3:23" x14ac:dyDescent="0.2">
      <c r="C1898" s="5"/>
      <c r="I1898" s="5"/>
      <c r="L1898" s="5"/>
      <c r="M1898" s="5"/>
      <c r="N1898" s="5"/>
      <c r="P1898" s="5"/>
      <c r="Q1898" s="5"/>
      <c r="R1898" s="5"/>
      <c r="S1898" s="5"/>
      <c r="U1898" s="5"/>
      <c r="W1898" s="5"/>
    </row>
    <row r="1899" spans="3:23" ht="10.5" customHeight="1" x14ac:dyDescent="0.2">
      <c r="C1899" s="5"/>
      <c r="I1899" s="5"/>
      <c r="L1899" s="5"/>
      <c r="M1899" s="5"/>
      <c r="N1899" s="5"/>
      <c r="P1899" s="5"/>
      <c r="Q1899" s="5"/>
      <c r="R1899" s="5"/>
      <c r="S1899" s="5"/>
      <c r="U1899" s="5"/>
      <c r="W1899" s="5"/>
    </row>
    <row r="1900" spans="3:23" x14ac:dyDescent="0.2">
      <c r="C1900" s="5"/>
      <c r="I1900" s="5"/>
      <c r="L1900" s="5"/>
      <c r="M1900" s="5"/>
      <c r="N1900" s="5"/>
      <c r="P1900" s="5"/>
      <c r="Q1900" s="5"/>
      <c r="R1900" s="5"/>
      <c r="S1900" s="5"/>
      <c r="U1900" s="5"/>
      <c r="W1900" s="5"/>
    </row>
    <row r="1901" spans="3:23" x14ac:dyDescent="0.2">
      <c r="C1901" s="5"/>
      <c r="I1901" s="5"/>
      <c r="L1901" s="5"/>
      <c r="M1901" s="5"/>
      <c r="N1901" s="5"/>
      <c r="P1901" s="5"/>
      <c r="Q1901" s="5"/>
      <c r="R1901" s="5"/>
      <c r="S1901" s="5"/>
      <c r="U1901" s="5"/>
      <c r="W1901" s="5"/>
    </row>
    <row r="1902" spans="3:23" x14ac:dyDescent="0.2">
      <c r="C1902" s="5"/>
      <c r="I1902" s="5"/>
      <c r="L1902" s="5"/>
      <c r="M1902" s="5"/>
      <c r="N1902" s="5"/>
      <c r="P1902" s="5"/>
      <c r="Q1902" s="5"/>
      <c r="R1902" s="5"/>
      <c r="S1902" s="5"/>
      <c r="U1902" s="5"/>
      <c r="W1902" s="5"/>
    </row>
    <row r="1903" spans="3:23" x14ac:dyDescent="0.2">
      <c r="C1903" s="5"/>
      <c r="I1903" s="5"/>
      <c r="L1903" s="5"/>
      <c r="M1903" s="5"/>
      <c r="N1903" s="5"/>
      <c r="P1903" s="5"/>
      <c r="Q1903" s="5"/>
      <c r="R1903" s="5"/>
      <c r="S1903" s="5"/>
      <c r="U1903" s="5"/>
      <c r="W1903" s="5"/>
    </row>
    <row r="1904" spans="3:23" x14ac:dyDescent="0.2">
      <c r="C1904" s="5"/>
      <c r="I1904" s="5"/>
      <c r="L1904" s="5"/>
      <c r="M1904" s="5"/>
      <c r="N1904" s="5"/>
      <c r="P1904" s="5"/>
      <c r="Q1904" s="5"/>
      <c r="R1904" s="5"/>
      <c r="S1904" s="5"/>
      <c r="U1904" s="5"/>
      <c r="W1904" s="5"/>
    </row>
    <row r="1905" spans="3:23" x14ac:dyDescent="0.2">
      <c r="C1905" s="5"/>
      <c r="I1905" s="5"/>
      <c r="L1905" s="5"/>
      <c r="M1905" s="5"/>
      <c r="N1905" s="5"/>
      <c r="P1905" s="5"/>
      <c r="Q1905" s="5"/>
      <c r="R1905" s="5"/>
      <c r="S1905" s="5"/>
      <c r="U1905" s="5"/>
      <c r="W1905" s="5"/>
    </row>
    <row r="1906" spans="3:23" x14ac:dyDescent="0.2">
      <c r="C1906" s="5"/>
      <c r="I1906" s="5"/>
      <c r="L1906" s="5"/>
      <c r="M1906" s="5"/>
      <c r="N1906" s="5"/>
      <c r="P1906" s="5"/>
      <c r="Q1906" s="5"/>
      <c r="R1906" s="5"/>
      <c r="S1906" s="5"/>
      <c r="U1906" s="5"/>
      <c r="W1906" s="5"/>
    </row>
    <row r="1907" spans="3:23" x14ac:dyDescent="0.2">
      <c r="C1907" s="5"/>
      <c r="I1907" s="5"/>
      <c r="L1907" s="5"/>
      <c r="M1907" s="5"/>
      <c r="N1907" s="5"/>
      <c r="P1907" s="5"/>
      <c r="Q1907" s="5"/>
      <c r="R1907" s="5"/>
      <c r="S1907" s="5"/>
      <c r="U1907" s="5"/>
      <c r="W1907" s="5"/>
    </row>
    <row r="1908" spans="3:23" x14ac:dyDescent="0.2">
      <c r="C1908" s="5"/>
      <c r="I1908" s="5"/>
      <c r="L1908" s="5"/>
      <c r="M1908" s="5"/>
      <c r="N1908" s="5"/>
      <c r="P1908" s="5"/>
      <c r="Q1908" s="5"/>
      <c r="R1908" s="5"/>
      <c r="S1908" s="5"/>
      <c r="U1908" s="5"/>
      <c r="W1908" s="5"/>
    </row>
    <row r="1909" spans="3:23" x14ac:dyDescent="0.2">
      <c r="C1909" s="5"/>
      <c r="I1909" s="5"/>
      <c r="L1909" s="5"/>
      <c r="M1909" s="5"/>
      <c r="N1909" s="5"/>
      <c r="P1909" s="5"/>
      <c r="Q1909" s="5"/>
      <c r="R1909" s="5"/>
      <c r="S1909" s="5"/>
      <c r="U1909" s="5"/>
      <c r="W1909" s="5"/>
    </row>
    <row r="1910" spans="3:23" x14ac:dyDescent="0.2">
      <c r="C1910" s="5"/>
      <c r="I1910" s="5"/>
      <c r="L1910" s="5"/>
      <c r="M1910" s="5"/>
      <c r="N1910" s="5"/>
      <c r="P1910" s="5"/>
      <c r="Q1910" s="5"/>
      <c r="R1910" s="5"/>
      <c r="S1910" s="5"/>
      <c r="U1910" s="5"/>
      <c r="W1910" s="5"/>
    </row>
    <row r="1911" spans="3:23" x14ac:dyDescent="0.2">
      <c r="C1911" s="5"/>
      <c r="I1911" s="5"/>
      <c r="L1911" s="5"/>
      <c r="M1911" s="5"/>
      <c r="N1911" s="5"/>
      <c r="P1911" s="5"/>
      <c r="Q1911" s="5"/>
      <c r="R1911" s="5"/>
      <c r="S1911" s="5"/>
      <c r="U1911" s="5"/>
      <c r="W1911" s="5"/>
    </row>
    <row r="1912" spans="3:23" x14ac:dyDescent="0.2">
      <c r="C1912" s="5"/>
      <c r="I1912" s="5"/>
      <c r="L1912" s="5"/>
      <c r="M1912" s="5"/>
      <c r="N1912" s="5"/>
      <c r="P1912" s="5"/>
      <c r="Q1912" s="5"/>
      <c r="R1912" s="5"/>
      <c r="S1912" s="5"/>
      <c r="U1912" s="5"/>
      <c r="W1912" s="5"/>
    </row>
    <row r="1913" spans="3:23" x14ac:dyDescent="0.2">
      <c r="C1913" s="5"/>
      <c r="I1913" s="5"/>
      <c r="L1913" s="5"/>
      <c r="M1913" s="5"/>
      <c r="N1913" s="5"/>
      <c r="P1913" s="5"/>
      <c r="Q1913" s="5"/>
      <c r="R1913" s="5"/>
      <c r="S1913" s="5"/>
      <c r="U1913" s="5"/>
      <c r="W1913" s="5"/>
    </row>
    <row r="1914" spans="3:23" x14ac:dyDescent="0.2">
      <c r="C1914" s="5"/>
      <c r="I1914" s="5"/>
      <c r="L1914" s="5"/>
      <c r="M1914" s="5"/>
      <c r="N1914" s="5"/>
      <c r="P1914" s="5"/>
      <c r="Q1914" s="5"/>
      <c r="R1914" s="5"/>
      <c r="S1914" s="5"/>
      <c r="U1914" s="5"/>
      <c r="W1914" s="5"/>
    </row>
    <row r="1915" spans="3:23" x14ac:dyDescent="0.2">
      <c r="C1915" s="5"/>
      <c r="I1915" s="5"/>
      <c r="L1915" s="5"/>
      <c r="M1915" s="5"/>
      <c r="N1915" s="5"/>
      <c r="P1915" s="5"/>
      <c r="Q1915" s="5"/>
      <c r="R1915" s="5"/>
      <c r="S1915" s="5"/>
      <c r="U1915" s="5"/>
      <c r="W1915" s="5"/>
    </row>
    <row r="1916" spans="3:23" x14ac:dyDescent="0.2">
      <c r="C1916" s="5"/>
      <c r="I1916" s="5"/>
      <c r="L1916" s="5"/>
      <c r="M1916" s="5"/>
      <c r="N1916" s="5"/>
      <c r="P1916" s="5"/>
      <c r="Q1916" s="5"/>
      <c r="R1916" s="5"/>
      <c r="S1916" s="5"/>
      <c r="U1916" s="5"/>
      <c r="W1916" s="5"/>
    </row>
    <row r="1917" spans="3:23" x14ac:dyDescent="0.2">
      <c r="C1917" s="5"/>
      <c r="I1917" s="5"/>
      <c r="L1917" s="5"/>
      <c r="M1917" s="5"/>
      <c r="N1917" s="5"/>
      <c r="P1917" s="5"/>
      <c r="Q1917" s="5"/>
      <c r="R1917" s="5"/>
      <c r="S1917" s="5"/>
      <c r="U1917" s="5"/>
      <c r="W1917" s="5"/>
    </row>
    <row r="1918" spans="3:23" x14ac:dyDescent="0.2">
      <c r="C1918" s="5"/>
      <c r="I1918" s="5"/>
      <c r="L1918" s="5"/>
      <c r="M1918" s="5"/>
      <c r="N1918" s="5"/>
      <c r="P1918" s="5"/>
      <c r="Q1918" s="5"/>
      <c r="R1918" s="5"/>
      <c r="S1918" s="5"/>
      <c r="U1918" s="5"/>
      <c r="W1918" s="5"/>
    </row>
    <row r="1919" spans="3:23" x14ac:dyDescent="0.2">
      <c r="C1919" s="5"/>
      <c r="I1919" s="5"/>
      <c r="L1919" s="5"/>
      <c r="M1919" s="5"/>
      <c r="N1919" s="5"/>
      <c r="P1919" s="5"/>
      <c r="Q1919" s="5"/>
      <c r="R1919" s="5"/>
      <c r="S1919" s="5"/>
      <c r="U1919" s="5"/>
      <c r="W1919" s="5"/>
    </row>
    <row r="1920" spans="3:23" x14ac:dyDescent="0.2">
      <c r="C1920" s="5"/>
      <c r="I1920" s="5"/>
      <c r="L1920" s="5"/>
      <c r="M1920" s="5"/>
      <c r="N1920" s="5"/>
      <c r="P1920" s="5"/>
      <c r="Q1920" s="5"/>
      <c r="R1920" s="5"/>
      <c r="S1920" s="5"/>
      <c r="U1920" s="5"/>
      <c r="W1920" s="5"/>
    </row>
    <row r="1921" spans="3:23" x14ac:dyDescent="0.2">
      <c r="C1921" s="5"/>
      <c r="I1921" s="5"/>
      <c r="L1921" s="5"/>
      <c r="M1921" s="5"/>
      <c r="N1921" s="5"/>
      <c r="P1921" s="5"/>
      <c r="Q1921" s="5"/>
      <c r="R1921" s="5"/>
      <c r="S1921" s="5"/>
      <c r="U1921" s="5"/>
      <c r="W1921" s="5"/>
    </row>
    <row r="1922" spans="3:23" x14ac:dyDescent="0.2">
      <c r="C1922" s="5"/>
      <c r="I1922" s="5"/>
      <c r="L1922" s="5"/>
      <c r="M1922" s="5"/>
      <c r="N1922" s="5"/>
      <c r="P1922" s="5"/>
      <c r="Q1922" s="5"/>
      <c r="R1922" s="5"/>
      <c r="S1922" s="5"/>
      <c r="U1922" s="5"/>
      <c r="W1922" s="5"/>
    </row>
    <row r="1923" spans="3:23" x14ac:dyDescent="0.2">
      <c r="C1923" s="5"/>
      <c r="I1923" s="5"/>
      <c r="L1923" s="5"/>
      <c r="M1923" s="5"/>
      <c r="N1923" s="5"/>
      <c r="P1923" s="5"/>
      <c r="Q1923" s="5"/>
      <c r="R1923" s="5"/>
      <c r="S1923" s="5"/>
      <c r="U1923" s="5"/>
      <c r="W1923" s="5"/>
    </row>
    <row r="1924" spans="3:23" x14ac:dyDescent="0.2">
      <c r="C1924" s="5"/>
      <c r="I1924" s="5"/>
      <c r="L1924" s="5"/>
      <c r="M1924" s="5"/>
      <c r="N1924" s="5"/>
      <c r="P1924" s="5"/>
      <c r="Q1924" s="5"/>
      <c r="R1924" s="5"/>
      <c r="S1924" s="5"/>
      <c r="U1924" s="5"/>
      <c r="W1924" s="5"/>
    </row>
    <row r="1925" spans="3:23" x14ac:dyDescent="0.2">
      <c r="C1925" s="5"/>
      <c r="I1925" s="5"/>
      <c r="L1925" s="5"/>
      <c r="M1925" s="5"/>
      <c r="N1925" s="5"/>
      <c r="P1925" s="5"/>
      <c r="Q1925" s="5"/>
      <c r="R1925" s="5"/>
      <c r="S1925" s="5"/>
      <c r="U1925" s="5"/>
      <c r="W1925" s="5"/>
    </row>
    <row r="1926" spans="3:23" x14ac:dyDescent="0.2">
      <c r="C1926" s="5"/>
      <c r="I1926" s="5"/>
      <c r="L1926" s="5"/>
      <c r="M1926" s="5"/>
      <c r="N1926" s="5"/>
      <c r="P1926" s="5"/>
      <c r="Q1926" s="5"/>
      <c r="R1926" s="5"/>
      <c r="S1926" s="5"/>
      <c r="U1926" s="5"/>
      <c r="W1926" s="5"/>
    </row>
    <row r="1927" spans="3:23" x14ac:dyDescent="0.2">
      <c r="C1927" s="5"/>
      <c r="I1927" s="5"/>
      <c r="L1927" s="5"/>
      <c r="M1927" s="5"/>
      <c r="N1927" s="5"/>
      <c r="P1927" s="5"/>
      <c r="Q1927" s="5"/>
      <c r="R1927" s="5"/>
      <c r="S1927" s="5"/>
      <c r="U1927" s="5"/>
      <c r="W1927" s="5"/>
    </row>
    <row r="1928" spans="3:23" x14ac:dyDescent="0.2">
      <c r="C1928" s="5"/>
      <c r="I1928" s="5"/>
      <c r="L1928" s="5"/>
      <c r="M1928" s="5"/>
      <c r="N1928" s="5"/>
      <c r="P1928" s="5"/>
      <c r="Q1928" s="5"/>
      <c r="R1928" s="5"/>
      <c r="S1928" s="5"/>
      <c r="U1928" s="5"/>
      <c r="W1928" s="5"/>
    </row>
    <row r="1929" spans="3:23" x14ac:dyDescent="0.2">
      <c r="C1929" s="5"/>
      <c r="I1929" s="5"/>
      <c r="L1929" s="5"/>
      <c r="M1929" s="5"/>
      <c r="N1929" s="5"/>
      <c r="P1929" s="5"/>
      <c r="Q1929" s="5"/>
      <c r="R1929" s="5"/>
      <c r="S1929" s="5"/>
      <c r="U1929" s="5"/>
      <c r="W1929" s="5"/>
    </row>
    <row r="1930" spans="3:23" x14ac:dyDescent="0.2">
      <c r="C1930" s="5"/>
      <c r="I1930" s="5"/>
      <c r="L1930" s="5"/>
      <c r="M1930" s="5"/>
      <c r="N1930" s="5"/>
      <c r="P1930" s="5"/>
      <c r="Q1930" s="5"/>
      <c r="R1930" s="5"/>
      <c r="S1930" s="5"/>
      <c r="U1930" s="5"/>
      <c r="W1930" s="5"/>
    </row>
    <row r="1931" spans="3:23" x14ac:dyDescent="0.2">
      <c r="C1931" s="5"/>
      <c r="I1931" s="5"/>
      <c r="L1931" s="5"/>
      <c r="M1931" s="5"/>
      <c r="N1931" s="5"/>
      <c r="P1931" s="5"/>
      <c r="Q1931" s="5"/>
      <c r="R1931" s="5"/>
      <c r="S1931" s="5"/>
      <c r="U1931" s="5"/>
      <c r="W1931" s="5"/>
    </row>
    <row r="1932" spans="3:23" x14ac:dyDescent="0.2">
      <c r="C1932" s="5"/>
      <c r="I1932" s="5"/>
      <c r="L1932" s="5"/>
      <c r="M1932" s="5"/>
      <c r="N1932" s="5"/>
      <c r="P1932" s="5"/>
      <c r="Q1932" s="5"/>
      <c r="R1932" s="5"/>
      <c r="S1932" s="5"/>
      <c r="U1932" s="5"/>
      <c r="W1932" s="5"/>
    </row>
    <row r="1933" spans="3:23" x14ac:dyDescent="0.2">
      <c r="C1933" s="5"/>
      <c r="I1933" s="5"/>
      <c r="L1933" s="5"/>
      <c r="M1933" s="5"/>
      <c r="N1933" s="5"/>
      <c r="P1933" s="5"/>
      <c r="Q1933" s="5"/>
      <c r="R1933" s="5"/>
      <c r="S1933" s="5"/>
      <c r="U1933" s="5"/>
      <c r="W1933" s="5"/>
    </row>
    <row r="1934" spans="3:23" x14ac:dyDescent="0.2">
      <c r="C1934" s="5"/>
      <c r="I1934" s="5"/>
      <c r="L1934" s="5"/>
      <c r="M1934" s="5"/>
      <c r="N1934" s="5"/>
      <c r="P1934" s="5"/>
      <c r="Q1934" s="5"/>
      <c r="R1934" s="5"/>
      <c r="S1934" s="5"/>
      <c r="U1934" s="5"/>
      <c r="W1934" s="5"/>
    </row>
    <row r="1935" spans="3:23" x14ac:dyDescent="0.2">
      <c r="C1935" s="5"/>
      <c r="I1935" s="5"/>
      <c r="L1935" s="5"/>
      <c r="M1935" s="5"/>
      <c r="N1935" s="5"/>
      <c r="P1935" s="5"/>
      <c r="Q1935" s="5"/>
      <c r="R1935" s="5"/>
      <c r="S1935" s="5"/>
      <c r="U1935" s="5"/>
      <c r="W1935" s="5"/>
    </row>
    <row r="1936" spans="3:23" x14ac:dyDescent="0.2">
      <c r="C1936" s="5"/>
      <c r="I1936" s="5"/>
      <c r="L1936" s="5"/>
      <c r="M1936" s="5"/>
      <c r="N1936" s="5"/>
      <c r="P1936" s="5"/>
      <c r="Q1936" s="5"/>
      <c r="R1936" s="5"/>
      <c r="S1936" s="5"/>
      <c r="U1936" s="5"/>
      <c r="W1936" s="5"/>
    </row>
    <row r="1937" spans="3:23" x14ac:dyDescent="0.2">
      <c r="C1937" s="5"/>
      <c r="I1937" s="5"/>
      <c r="L1937" s="5"/>
      <c r="M1937" s="5"/>
      <c r="N1937" s="5"/>
      <c r="P1937" s="5"/>
      <c r="Q1937" s="5"/>
      <c r="R1937" s="5"/>
      <c r="S1937" s="5"/>
      <c r="U1937" s="5"/>
      <c r="W1937" s="5"/>
    </row>
    <row r="1938" spans="3:23" x14ac:dyDescent="0.2">
      <c r="C1938" s="5"/>
      <c r="I1938" s="5"/>
      <c r="L1938" s="5"/>
      <c r="M1938" s="5"/>
      <c r="N1938" s="5"/>
      <c r="P1938" s="5"/>
      <c r="Q1938" s="5"/>
      <c r="R1938" s="5"/>
      <c r="S1938" s="5"/>
      <c r="U1938" s="5"/>
      <c r="W1938" s="5"/>
    </row>
    <row r="1939" spans="3:23" x14ac:dyDescent="0.2">
      <c r="C1939" s="5"/>
      <c r="I1939" s="5"/>
      <c r="L1939" s="5"/>
      <c r="M1939" s="5"/>
      <c r="N1939" s="5"/>
      <c r="P1939" s="5"/>
      <c r="Q1939" s="5"/>
      <c r="R1939" s="5"/>
      <c r="S1939" s="5"/>
      <c r="U1939" s="5"/>
      <c r="W1939" s="5"/>
    </row>
    <row r="1940" spans="3:23" x14ac:dyDescent="0.2">
      <c r="C1940" s="5"/>
      <c r="I1940" s="5"/>
      <c r="L1940" s="5"/>
      <c r="M1940" s="5"/>
      <c r="N1940" s="5"/>
      <c r="P1940" s="5"/>
      <c r="Q1940" s="5"/>
      <c r="R1940" s="5"/>
      <c r="S1940" s="5"/>
      <c r="U1940" s="5"/>
      <c r="W1940" s="5"/>
    </row>
    <row r="1941" spans="3:23" x14ac:dyDescent="0.2">
      <c r="C1941" s="5"/>
      <c r="I1941" s="5"/>
      <c r="L1941" s="5"/>
      <c r="M1941" s="5"/>
      <c r="N1941" s="5"/>
      <c r="P1941" s="5"/>
      <c r="Q1941" s="5"/>
      <c r="R1941" s="5"/>
      <c r="S1941" s="5"/>
      <c r="U1941" s="5"/>
      <c r="W1941" s="5"/>
    </row>
    <row r="1942" spans="3:23" x14ac:dyDescent="0.2">
      <c r="C1942" s="5"/>
      <c r="I1942" s="5"/>
      <c r="L1942" s="5"/>
      <c r="M1942" s="5"/>
      <c r="N1942" s="5"/>
      <c r="P1942" s="5"/>
      <c r="Q1942" s="5"/>
      <c r="R1942" s="5"/>
      <c r="S1942" s="5"/>
      <c r="U1942" s="5"/>
      <c r="W1942" s="5"/>
    </row>
    <row r="1943" spans="3:23" x14ac:dyDescent="0.2">
      <c r="C1943" s="5"/>
      <c r="I1943" s="5"/>
      <c r="L1943" s="5"/>
      <c r="M1943" s="5"/>
      <c r="N1943" s="5"/>
      <c r="P1943" s="5"/>
      <c r="Q1943" s="5"/>
      <c r="R1943" s="5"/>
      <c r="S1943" s="5"/>
      <c r="U1943" s="5"/>
      <c r="W1943" s="5"/>
    </row>
    <row r="1944" spans="3:23" x14ac:dyDescent="0.2">
      <c r="C1944" s="5"/>
      <c r="I1944" s="5"/>
      <c r="L1944" s="5"/>
      <c r="M1944" s="5"/>
      <c r="N1944" s="5"/>
      <c r="P1944" s="5"/>
      <c r="Q1944" s="5"/>
      <c r="R1944" s="5"/>
      <c r="S1944" s="5"/>
      <c r="U1944" s="5"/>
      <c r="W1944" s="5"/>
    </row>
    <row r="1945" spans="3:23" x14ac:dyDescent="0.2">
      <c r="C1945" s="5"/>
      <c r="I1945" s="5"/>
      <c r="L1945" s="5"/>
      <c r="M1945" s="5"/>
      <c r="N1945" s="5"/>
      <c r="P1945" s="5"/>
      <c r="Q1945" s="5"/>
      <c r="R1945" s="5"/>
      <c r="S1945" s="5"/>
      <c r="U1945" s="5"/>
      <c r="W1945" s="5"/>
    </row>
    <row r="1946" spans="3:23" x14ac:dyDescent="0.2">
      <c r="C1946" s="5"/>
      <c r="I1946" s="5"/>
      <c r="L1946" s="5"/>
      <c r="M1946" s="5"/>
      <c r="N1946" s="5"/>
      <c r="P1946" s="5"/>
      <c r="Q1946" s="5"/>
      <c r="R1946" s="5"/>
      <c r="S1946" s="5"/>
      <c r="U1946" s="5"/>
      <c r="W1946" s="5"/>
    </row>
    <row r="1947" spans="3:23" x14ac:dyDescent="0.2">
      <c r="C1947" s="5"/>
      <c r="I1947" s="5"/>
      <c r="L1947" s="5"/>
      <c r="M1947" s="5"/>
      <c r="N1947" s="5"/>
      <c r="P1947" s="5"/>
      <c r="Q1947" s="5"/>
      <c r="R1947" s="5"/>
      <c r="S1947" s="5"/>
      <c r="U1947" s="5"/>
      <c r="W1947" s="5"/>
    </row>
    <row r="1948" spans="3:23" x14ac:dyDescent="0.2">
      <c r="C1948" s="5"/>
      <c r="I1948" s="5"/>
      <c r="L1948" s="5"/>
      <c r="M1948" s="5"/>
      <c r="N1948" s="5"/>
      <c r="P1948" s="5"/>
      <c r="Q1948" s="5"/>
      <c r="R1948" s="5"/>
      <c r="S1948" s="5"/>
      <c r="U1948" s="5"/>
      <c r="W1948" s="5"/>
    </row>
    <row r="1949" spans="3:23" x14ac:dyDescent="0.2">
      <c r="C1949" s="5"/>
      <c r="I1949" s="5"/>
      <c r="L1949" s="5"/>
      <c r="M1949" s="5"/>
      <c r="N1949" s="5"/>
      <c r="P1949" s="5"/>
      <c r="Q1949" s="5"/>
      <c r="R1949" s="5"/>
      <c r="S1949" s="5"/>
      <c r="U1949" s="5"/>
      <c r="W1949" s="5"/>
    </row>
    <row r="1950" spans="3:23" x14ac:dyDescent="0.2">
      <c r="C1950" s="5"/>
      <c r="I1950" s="5"/>
      <c r="L1950" s="5"/>
      <c r="M1950" s="5"/>
      <c r="N1950" s="5"/>
      <c r="P1950" s="5"/>
      <c r="Q1950" s="5"/>
      <c r="R1950" s="5"/>
      <c r="S1950" s="5"/>
      <c r="U1950" s="5"/>
      <c r="W1950" s="5"/>
    </row>
    <row r="1951" spans="3:23" x14ac:dyDescent="0.2">
      <c r="C1951" s="5"/>
      <c r="I1951" s="5"/>
      <c r="L1951" s="5"/>
      <c r="M1951" s="5"/>
      <c r="N1951" s="5"/>
      <c r="P1951" s="5"/>
      <c r="Q1951" s="5"/>
      <c r="R1951" s="5"/>
      <c r="S1951" s="5"/>
      <c r="U1951" s="5"/>
      <c r="W1951" s="5"/>
    </row>
    <row r="1952" spans="3:23" x14ac:dyDescent="0.2">
      <c r="C1952" s="5"/>
      <c r="I1952" s="5"/>
      <c r="L1952" s="5"/>
      <c r="M1952" s="5"/>
      <c r="N1952" s="5"/>
      <c r="P1952" s="5"/>
      <c r="Q1952" s="5"/>
      <c r="R1952" s="5"/>
      <c r="S1952" s="5"/>
      <c r="U1952" s="5"/>
      <c r="W1952" s="5"/>
    </row>
    <row r="1953" spans="3:23" x14ac:dyDescent="0.2">
      <c r="C1953" s="5"/>
      <c r="I1953" s="5"/>
      <c r="L1953" s="5"/>
      <c r="M1953" s="5"/>
      <c r="N1953" s="5"/>
      <c r="P1953" s="5"/>
      <c r="Q1953" s="5"/>
      <c r="R1953" s="5"/>
      <c r="S1953" s="5"/>
      <c r="U1953" s="5"/>
      <c r="W1953" s="5"/>
    </row>
    <row r="1954" spans="3:23" x14ac:dyDescent="0.2">
      <c r="C1954" s="5"/>
      <c r="I1954" s="5"/>
      <c r="L1954" s="5"/>
      <c r="M1954" s="5"/>
      <c r="N1954" s="5"/>
      <c r="P1954" s="5"/>
      <c r="Q1954" s="5"/>
      <c r="R1954" s="5"/>
      <c r="S1954" s="5"/>
      <c r="U1954" s="5"/>
      <c r="W1954" s="5"/>
    </row>
    <row r="1955" spans="3:23" x14ac:dyDescent="0.2">
      <c r="C1955" s="5"/>
      <c r="I1955" s="5"/>
      <c r="L1955" s="5"/>
      <c r="M1955" s="5"/>
      <c r="N1955" s="5"/>
      <c r="P1955" s="5"/>
      <c r="Q1955" s="5"/>
      <c r="R1955" s="5"/>
      <c r="S1955" s="5"/>
      <c r="U1955" s="5"/>
      <c r="W1955" s="5"/>
    </row>
    <row r="1956" spans="3:23" x14ac:dyDescent="0.2">
      <c r="C1956" s="5"/>
      <c r="I1956" s="5"/>
      <c r="L1956" s="5"/>
      <c r="M1956" s="5"/>
      <c r="N1956" s="5"/>
      <c r="P1956" s="5"/>
      <c r="Q1956" s="5"/>
      <c r="R1956" s="5"/>
      <c r="S1956" s="5"/>
      <c r="U1956" s="5"/>
      <c r="W1956" s="5"/>
    </row>
    <row r="1957" spans="3:23" x14ac:dyDescent="0.2">
      <c r="C1957" s="5"/>
      <c r="I1957" s="5"/>
      <c r="L1957" s="5"/>
      <c r="M1957" s="5"/>
      <c r="N1957" s="5"/>
      <c r="P1957" s="5"/>
      <c r="Q1957" s="5"/>
      <c r="R1957" s="5"/>
      <c r="S1957" s="5"/>
      <c r="U1957" s="5"/>
      <c r="W1957" s="5"/>
    </row>
    <row r="1958" spans="3:23" x14ac:dyDescent="0.2">
      <c r="C1958" s="5"/>
      <c r="I1958" s="5"/>
      <c r="L1958" s="5"/>
      <c r="M1958" s="5"/>
      <c r="N1958" s="5"/>
      <c r="P1958" s="5"/>
      <c r="Q1958" s="5"/>
      <c r="R1958" s="5"/>
      <c r="S1958" s="5"/>
      <c r="U1958" s="5"/>
      <c r="W1958" s="5"/>
    </row>
    <row r="1959" spans="3:23" x14ac:dyDescent="0.2">
      <c r="C1959" s="5"/>
      <c r="I1959" s="5"/>
      <c r="L1959" s="5"/>
      <c r="M1959" s="5"/>
      <c r="N1959" s="5"/>
      <c r="P1959" s="5"/>
      <c r="Q1959" s="5"/>
      <c r="R1959" s="5"/>
      <c r="S1959" s="5"/>
      <c r="U1959" s="5"/>
      <c r="W1959" s="5"/>
    </row>
    <row r="1960" spans="3:23" x14ac:dyDescent="0.2">
      <c r="C1960" s="5"/>
      <c r="I1960" s="5"/>
      <c r="L1960" s="5"/>
      <c r="M1960" s="5"/>
      <c r="N1960" s="5"/>
      <c r="P1960" s="5"/>
      <c r="Q1960" s="5"/>
      <c r="R1960" s="5"/>
      <c r="S1960" s="5"/>
      <c r="U1960" s="5"/>
      <c r="W1960" s="5"/>
    </row>
    <row r="1961" spans="3:23" x14ac:dyDescent="0.2">
      <c r="C1961" s="5"/>
      <c r="I1961" s="5"/>
      <c r="L1961" s="5"/>
      <c r="M1961" s="5"/>
      <c r="N1961" s="5"/>
      <c r="P1961" s="5"/>
      <c r="Q1961" s="5"/>
      <c r="R1961" s="5"/>
      <c r="S1961" s="5"/>
      <c r="U1961" s="5"/>
      <c r="W1961" s="5"/>
    </row>
    <row r="1962" spans="3:23" x14ac:dyDescent="0.2">
      <c r="C1962" s="5"/>
      <c r="I1962" s="5"/>
      <c r="L1962" s="5"/>
      <c r="M1962" s="5"/>
      <c r="N1962" s="5"/>
      <c r="P1962" s="5"/>
      <c r="Q1962" s="5"/>
      <c r="R1962" s="5"/>
      <c r="S1962" s="5"/>
      <c r="U1962" s="5"/>
      <c r="W1962" s="5"/>
    </row>
    <row r="1963" spans="3:23" x14ac:dyDescent="0.2">
      <c r="C1963" s="5"/>
      <c r="I1963" s="5"/>
      <c r="L1963" s="5"/>
      <c r="M1963" s="5"/>
      <c r="N1963" s="5"/>
      <c r="P1963" s="5"/>
      <c r="Q1963" s="5"/>
      <c r="R1963" s="5"/>
      <c r="S1963" s="5"/>
      <c r="U1963" s="5"/>
      <c r="W1963" s="5"/>
    </row>
    <row r="1964" spans="3:23" x14ac:dyDescent="0.2">
      <c r="C1964" s="5"/>
      <c r="I1964" s="5"/>
      <c r="L1964" s="5"/>
      <c r="M1964" s="5"/>
      <c r="N1964" s="5"/>
      <c r="P1964" s="5"/>
      <c r="Q1964" s="5"/>
      <c r="R1964" s="5"/>
      <c r="S1964" s="5"/>
      <c r="U1964" s="5"/>
      <c r="W1964" s="5"/>
    </row>
    <row r="1965" spans="3:23" x14ac:dyDescent="0.2">
      <c r="C1965" s="5"/>
      <c r="I1965" s="5"/>
      <c r="L1965" s="5"/>
      <c r="M1965" s="5"/>
      <c r="N1965" s="5"/>
      <c r="P1965" s="5"/>
      <c r="Q1965" s="5"/>
      <c r="R1965" s="5"/>
      <c r="S1965" s="5"/>
      <c r="U1965" s="5"/>
      <c r="W1965" s="5"/>
    </row>
    <row r="1966" spans="3:23" x14ac:dyDescent="0.2">
      <c r="C1966" s="5"/>
      <c r="I1966" s="5"/>
      <c r="L1966" s="5"/>
      <c r="M1966" s="5"/>
      <c r="N1966" s="5"/>
      <c r="P1966" s="5"/>
      <c r="Q1966" s="5"/>
      <c r="R1966" s="5"/>
      <c r="S1966" s="5"/>
      <c r="U1966" s="5"/>
      <c r="W1966" s="5"/>
    </row>
    <row r="1967" spans="3:23" x14ac:dyDescent="0.2">
      <c r="C1967" s="5"/>
      <c r="I1967" s="5"/>
      <c r="L1967" s="5"/>
      <c r="M1967" s="5"/>
      <c r="N1967" s="5"/>
      <c r="P1967" s="5"/>
      <c r="Q1967" s="5"/>
      <c r="R1967" s="5"/>
      <c r="S1967" s="5"/>
      <c r="U1967" s="5"/>
      <c r="W1967" s="5"/>
    </row>
    <row r="1968" spans="3:23" x14ac:dyDescent="0.2">
      <c r="C1968" s="5"/>
      <c r="I1968" s="5"/>
      <c r="L1968" s="5"/>
      <c r="M1968" s="5"/>
      <c r="N1968" s="5"/>
      <c r="P1968" s="5"/>
      <c r="Q1968" s="5"/>
      <c r="R1968" s="5"/>
      <c r="S1968" s="5"/>
      <c r="U1968" s="5"/>
      <c r="W1968" s="5"/>
    </row>
    <row r="1969" spans="3:23" x14ac:dyDescent="0.2">
      <c r="C1969" s="5"/>
      <c r="I1969" s="5"/>
      <c r="L1969" s="5"/>
      <c r="M1969" s="5"/>
      <c r="N1969" s="5"/>
      <c r="P1969" s="5"/>
      <c r="Q1969" s="5"/>
      <c r="R1969" s="5"/>
      <c r="S1969" s="5"/>
      <c r="U1969" s="5"/>
      <c r="W1969" s="5"/>
    </row>
    <row r="1970" spans="3:23" x14ac:dyDescent="0.2">
      <c r="C1970" s="5"/>
      <c r="I1970" s="5"/>
      <c r="L1970" s="5"/>
      <c r="M1970" s="5"/>
      <c r="N1970" s="5"/>
      <c r="P1970" s="5"/>
      <c r="Q1970" s="5"/>
      <c r="R1970" s="5"/>
      <c r="S1970" s="5"/>
      <c r="U1970" s="5"/>
      <c r="W1970" s="5"/>
    </row>
    <row r="1971" spans="3:23" x14ac:dyDescent="0.2">
      <c r="C1971" s="5"/>
      <c r="I1971" s="5"/>
      <c r="L1971" s="5"/>
      <c r="M1971" s="5"/>
      <c r="N1971" s="5"/>
      <c r="P1971" s="5"/>
      <c r="Q1971" s="5"/>
      <c r="R1971" s="5"/>
      <c r="S1971" s="5"/>
      <c r="U1971" s="5"/>
      <c r="W1971" s="5"/>
    </row>
    <row r="1972" spans="3:23" x14ac:dyDescent="0.2">
      <c r="C1972" s="5"/>
      <c r="I1972" s="5"/>
      <c r="L1972" s="5"/>
      <c r="M1972" s="5"/>
      <c r="N1972" s="5"/>
      <c r="P1972" s="5"/>
      <c r="Q1972" s="5"/>
      <c r="R1972" s="5"/>
      <c r="S1972" s="5"/>
      <c r="U1972" s="5"/>
      <c r="W1972" s="5"/>
    </row>
    <row r="1973" spans="3:23" x14ac:dyDescent="0.2">
      <c r="C1973" s="5"/>
      <c r="I1973" s="5"/>
      <c r="L1973" s="5"/>
      <c r="M1973" s="5"/>
      <c r="N1973" s="5"/>
      <c r="P1973" s="5"/>
      <c r="Q1973" s="5"/>
      <c r="R1973" s="5"/>
      <c r="S1973" s="5"/>
      <c r="U1973" s="5"/>
      <c r="W1973" s="5"/>
    </row>
    <row r="1974" spans="3:23" x14ac:dyDescent="0.2">
      <c r="C1974" s="5"/>
      <c r="I1974" s="5"/>
      <c r="L1974" s="5"/>
      <c r="M1974" s="5"/>
      <c r="N1974" s="5"/>
      <c r="P1974" s="5"/>
      <c r="Q1974" s="5"/>
      <c r="R1974" s="5"/>
      <c r="S1974" s="5"/>
      <c r="U1974" s="5"/>
      <c r="W1974" s="5"/>
    </row>
    <row r="1975" spans="3:23" x14ac:dyDescent="0.2">
      <c r="C1975" s="5"/>
      <c r="I1975" s="5"/>
      <c r="L1975" s="5"/>
      <c r="M1975" s="5"/>
      <c r="N1975" s="5"/>
      <c r="P1975" s="5"/>
      <c r="Q1975" s="5"/>
      <c r="R1975" s="5"/>
      <c r="S1975" s="5"/>
      <c r="U1975" s="5"/>
      <c r="W1975" s="5"/>
    </row>
    <row r="1976" spans="3:23" x14ac:dyDescent="0.2">
      <c r="C1976" s="5"/>
      <c r="I1976" s="5"/>
      <c r="L1976" s="5"/>
      <c r="M1976" s="5"/>
      <c r="N1976" s="5"/>
      <c r="P1976" s="5"/>
      <c r="Q1976" s="5"/>
      <c r="R1976" s="5"/>
      <c r="S1976" s="5"/>
      <c r="U1976" s="5"/>
      <c r="W1976" s="5"/>
    </row>
    <row r="1977" spans="3:23" x14ac:dyDescent="0.2">
      <c r="C1977" s="5"/>
      <c r="I1977" s="5"/>
      <c r="L1977" s="5"/>
      <c r="M1977" s="5"/>
      <c r="N1977" s="5"/>
      <c r="P1977" s="5"/>
      <c r="Q1977" s="5"/>
      <c r="R1977" s="5"/>
      <c r="S1977" s="5"/>
      <c r="U1977" s="5"/>
      <c r="W1977" s="5"/>
    </row>
    <row r="1978" spans="3:23" x14ac:dyDescent="0.2">
      <c r="C1978" s="5"/>
      <c r="I1978" s="5"/>
      <c r="L1978" s="5"/>
      <c r="M1978" s="5"/>
      <c r="N1978" s="5"/>
      <c r="P1978" s="5"/>
      <c r="Q1978" s="5"/>
      <c r="R1978" s="5"/>
      <c r="S1978" s="5"/>
      <c r="U1978" s="5"/>
      <c r="W1978" s="5"/>
    </row>
    <row r="1979" spans="3:23" x14ac:dyDescent="0.2">
      <c r="C1979" s="5"/>
      <c r="I1979" s="5"/>
      <c r="L1979" s="5"/>
      <c r="M1979" s="5"/>
      <c r="N1979" s="5"/>
      <c r="P1979" s="5"/>
      <c r="Q1979" s="5"/>
      <c r="R1979" s="5"/>
      <c r="S1979" s="5"/>
      <c r="U1979" s="5"/>
      <c r="W1979" s="5"/>
    </row>
    <row r="1980" spans="3:23" x14ac:dyDescent="0.2">
      <c r="C1980" s="5"/>
      <c r="I1980" s="5"/>
      <c r="L1980" s="5"/>
      <c r="M1980" s="5"/>
      <c r="N1980" s="5"/>
      <c r="P1980" s="5"/>
      <c r="Q1980" s="5"/>
      <c r="R1980" s="5"/>
      <c r="S1980" s="5"/>
      <c r="U1980" s="5"/>
      <c r="W1980" s="5"/>
    </row>
    <row r="1981" spans="3:23" x14ac:dyDescent="0.2">
      <c r="C1981" s="5"/>
      <c r="I1981" s="5"/>
      <c r="L1981" s="5"/>
      <c r="M1981" s="5"/>
      <c r="N1981" s="5"/>
      <c r="P1981" s="5"/>
      <c r="Q1981" s="5"/>
      <c r="R1981" s="5"/>
      <c r="S1981" s="5"/>
      <c r="U1981" s="5"/>
      <c r="W1981" s="5"/>
    </row>
    <row r="1982" spans="3:23" x14ac:dyDescent="0.2">
      <c r="C1982" s="5"/>
      <c r="I1982" s="5"/>
      <c r="L1982" s="5"/>
      <c r="M1982" s="5"/>
      <c r="N1982" s="5"/>
      <c r="P1982" s="5"/>
      <c r="Q1982" s="5"/>
      <c r="R1982" s="5"/>
      <c r="S1982" s="5"/>
      <c r="U1982" s="5"/>
      <c r="W1982" s="5"/>
    </row>
    <row r="1983" spans="3:23" x14ac:dyDescent="0.2">
      <c r="C1983" s="5"/>
      <c r="I1983" s="5"/>
      <c r="L1983" s="5"/>
      <c r="M1983" s="5"/>
      <c r="N1983" s="5"/>
      <c r="P1983" s="5"/>
      <c r="Q1983" s="5"/>
      <c r="R1983" s="5"/>
      <c r="S1983" s="5"/>
      <c r="U1983" s="5"/>
      <c r="W1983" s="5"/>
    </row>
    <row r="1984" spans="3:23" x14ac:dyDescent="0.2">
      <c r="C1984" s="5"/>
      <c r="I1984" s="5"/>
      <c r="L1984" s="5"/>
      <c r="M1984" s="5"/>
      <c r="N1984" s="5"/>
      <c r="P1984" s="5"/>
      <c r="Q1984" s="5"/>
      <c r="R1984" s="5"/>
      <c r="S1984" s="5"/>
      <c r="U1984" s="5"/>
      <c r="W1984" s="5"/>
    </row>
    <row r="1985" spans="3:23" x14ac:dyDescent="0.2">
      <c r="C1985" s="5"/>
      <c r="I1985" s="5"/>
      <c r="L1985" s="5"/>
      <c r="M1985" s="5"/>
      <c r="N1985" s="5"/>
      <c r="P1985" s="5"/>
      <c r="Q1985" s="5"/>
      <c r="R1985" s="5"/>
      <c r="S1985" s="5"/>
      <c r="U1985" s="5"/>
      <c r="W1985" s="5"/>
    </row>
    <row r="1986" spans="3:23" x14ac:dyDescent="0.2">
      <c r="C1986" s="5"/>
      <c r="I1986" s="5"/>
      <c r="L1986" s="5"/>
      <c r="M1986" s="5"/>
      <c r="N1986" s="5"/>
      <c r="P1986" s="5"/>
      <c r="Q1986" s="5"/>
      <c r="R1986" s="5"/>
      <c r="S1986" s="5"/>
      <c r="U1986" s="5"/>
      <c r="W1986" s="5"/>
    </row>
    <row r="1987" spans="3:23" x14ac:dyDescent="0.2">
      <c r="C1987" s="5"/>
      <c r="I1987" s="5"/>
      <c r="L1987" s="5"/>
      <c r="M1987" s="5"/>
      <c r="N1987" s="5"/>
      <c r="P1987" s="5"/>
      <c r="Q1987" s="5"/>
      <c r="R1987" s="5"/>
      <c r="S1987" s="5"/>
      <c r="U1987" s="5"/>
      <c r="W1987" s="5"/>
    </row>
    <row r="1988" spans="3:23" x14ac:dyDescent="0.2">
      <c r="C1988" s="5"/>
      <c r="I1988" s="5"/>
      <c r="L1988" s="5"/>
      <c r="M1988" s="5"/>
      <c r="N1988" s="5"/>
      <c r="P1988" s="5"/>
      <c r="Q1988" s="5"/>
      <c r="R1988" s="5"/>
      <c r="S1988" s="5"/>
      <c r="U1988" s="5"/>
      <c r="W1988" s="5"/>
    </row>
    <row r="1989" spans="3:23" x14ac:dyDescent="0.2">
      <c r="C1989" s="5"/>
      <c r="I1989" s="5"/>
      <c r="L1989" s="5"/>
      <c r="M1989" s="5"/>
      <c r="N1989" s="5"/>
      <c r="P1989" s="5"/>
      <c r="Q1989" s="5"/>
      <c r="R1989" s="5"/>
      <c r="S1989" s="5"/>
      <c r="U1989" s="5"/>
      <c r="W1989" s="5"/>
    </row>
    <row r="1990" spans="3:23" x14ac:dyDescent="0.2">
      <c r="C1990" s="5"/>
      <c r="I1990" s="5"/>
      <c r="L1990" s="5"/>
      <c r="M1990" s="5"/>
      <c r="N1990" s="5"/>
      <c r="P1990" s="5"/>
      <c r="Q1990" s="5"/>
      <c r="R1990" s="5"/>
      <c r="S1990" s="5"/>
      <c r="U1990" s="5"/>
      <c r="W1990" s="5"/>
    </row>
    <row r="1991" spans="3:23" x14ac:dyDescent="0.2">
      <c r="C1991" s="5"/>
      <c r="I1991" s="5"/>
      <c r="L1991" s="5"/>
      <c r="M1991" s="5"/>
      <c r="N1991" s="5"/>
      <c r="P1991" s="5"/>
      <c r="Q1991" s="5"/>
      <c r="R1991" s="5"/>
      <c r="S1991" s="5"/>
      <c r="U1991" s="5"/>
      <c r="W1991" s="5"/>
    </row>
    <row r="1992" spans="3:23" x14ac:dyDescent="0.2">
      <c r="C1992" s="5"/>
      <c r="I1992" s="5"/>
      <c r="L1992" s="5"/>
      <c r="M1992" s="5"/>
      <c r="N1992" s="5"/>
      <c r="P1992" s="5"/>
      <c r="Q1992" s="5"/>
      <c r="R1992" s="5"/>
      <c r="S1992" s="5"/>
      <c r="U1992" s="5"/>
      <c r="W1992" s="5"/>
    </row>
    <row r="1993" spans="3:23" x14ac:dyDescent="0.2">
      <c r="C1993" s="5"/>
      <c r="I1993" s="5"/>
      <c r="L1993" s="5"/>
      <c r="M1993" s="5"/>
      <c r="N1993" s="5"/>
      <c r="P1993" s="5"/>
      <c r="Q1993" s="5"/>
      <c r="R1993" s="5"/>
      <c r="S1993" s="5"/>
      <c r="U1993" s="5"/>
      <c r="W1993" s="5"/>
    </row>
    <row r="1994" spans="3:23" x14ac:dyDescent="0.2">
      <c r="C1994" s="5"/>
      <c r="I1994" s="5"/>
      <c r="L1994" s="5"/>
      <c r="M1994" s="5"/>
      <c r="N1994" s="5"/>
      <c r="P1994" s="5"/>
      <c r="Q1994" s="5"/>
      <c r="R1994" s="5"/>
      <c r="S1994" s="5"/>
      <c r="U1994" s="5"/>
      <c r="W1994" s="5"/>
    </row>
    <row r="1995" spans="3:23" x14ac:dyDescent="0.2">
      <c r="C1995" s="5"/>
      <c r="I1995" s="5"/>
      <c r="L1995" s="5"/>
      <c r="M1995" s="5"/>
      <c r="N1995" s="5"/>
      <c r="P1995" s="5"/>
      <c r="Q1995" s="5"/>
      <c r="R1995" s="5"/>
      <c r="S1995" s="5"/>
      <c r="U1995" s="5"/>
      <c r="W1995" s="5"/>
    </row>
    <row r="1996" spans="3:23" x14ac:dyDescent="0.2">
      <c r="C1996" s="5"/>
      <c r="I1996" s="5"/>
      <c r="L1996" s="5"/>
      <c r="M1996" s="5"/>
      <c r="N1996" s="5"/>
      <c r="P1996" s="5"/>
      <c r="Q1996" s="5"/>
      <c r="R1996" s="5"/>
      <c r="S1996" s="5"/>
      <c r="U1996" s="5"/>
      <c r="W1996" s="5"/>
    </row>
    <row r="1997" spans="3:23" x14ac:dyDescent="0.2">
      <c r="C1997" s="5"/>
      <c r="I1997" s="5"/>
      <c r="L1997" s="5"/>
      <c r="M1997" s="5"/>
      <c r="N1997" s="5"/>
      <c r="P1997" s="5"/>
      <c r="Q1997" s="5"/>
      <c r="R1997" s="5"/>
      <c r="S1997" s="5"/>
      <c r="U1997" s="5"/>
      <c r="W1997" s="5"/>
    </row>
    <row r="1998" spans="3:23" x14ac:dyDescent="0.2">
      <c r="C1998" s="5"/>
      <c r="I1998" s="5"/>
      <c r="L1998" s="5"/>
      <c r="M1998" s="5"/>
      <c r="N1998" s="5"/>
      <c r="P1998" s="5"/>
      <c r="Q1998" s="5"/>
      <c r="R1998" s="5"/>
      <c r="S1998" s="5"/>
      <c r="U1998" s="5"/>
      <c r="W1998" s="5"/>
    </row>
    <row r="1999" spans="3:23" x14ac:dyDescent="0.2">
      <c r="C1999" s="5"/>
      <c r="I1999" s="5"/>
      <c r="L1999" s="5"/>
      <c r="M1999" s="5"/>
      <c r="N1999" s="5"/>
      <c r="P1999" s="5"/>
      <c r="Q1999" s="5"/>
      <c r="R1999" s="5"/>
      <c r="S1999" s="5"/>
      <c r="U1999" s="5"/>
      <c r="W1999" s="5"/>
    </row>
    <row r="2000" spans="3:23" x14ac:dyDescent="0.2">
      <c r="C2000" s="5"/>
      <c r="I2000" s="5"/>
      <c r="L2000" s="5"/>
      <c r="M2000" s="5"/>
      <c r="N2000" s="5"/>
      <c r="P2000" s="5"/>
      <c r="Q2000" s="5"/>
      <c r="R2000" s="5"/>
      <c r="S2000" s="5"/>
      <c r="U2000" s="5"/>
      <c r="W2000" s="5"/>
    </row>
    <row r="2001" spans="3:23" x14ac:dyDescent="0.2">
      <c r="C2001" s="5"/>
      <c r="I2001" s="5"/>
      <c r="L2001" s="5"/>
      <c r="M2001" s="5"/>
      <c r="N2001" s="5"/>
      <c r="P2001" s="5"/>
      <c r="Q2001" s="5"/>
      <c r="R2001" s="5"/>
      <c r="S2001" s="5"/>
      <c r="U2001" s="5"/>
      <c r="W2001" s="5"/>
    </row>
    <row r="2002" spans="3:23" x14ac:dyDescent="0.2">
      <c r="C2002" s="5"/>
      <c r="I2002" s="5"/>
      <c r="L2002" s="5"/>
      <c r="M2002" s="5"/>
      <c r="N2002" s="5"/>
      <c r="P2002" s="5"/>
      <c r="Q2002" s="5"/>
      <c r="R2002" s="5"/>
      <c r="S2002" s="5"/>
      <c r="U2002" s="5"/>
      <c r="W2002" s="5"/>
    </row>
    <row r="2003" spans="3:23" x14ac:dyDescent="0.2">
      <c r="C2003" s="5"/>
      <c r="I2003" s="5"/>
      <c r="L2003" s="5"/>
      <c r="M2003" s="5"/>
      <c r="N2003" s="5"/>
      <c r="P2003" s="5"/>
      <c r="Q2003" s="5"/>
      <c r="R2003" s="5"/>
      <c r="S2003" s="5"/>
      <c r="U2003" s="5"/>
      <c r="W2003" s="5"/>
    </row>
    <row r="2004" spans="3:23" x14ac:dyDescent="0.2">
      <c r="C2004" s="5"/>
      <c r="I2004" s="5"/>
      <c r="L2004" s="5"/>
      <c r="M2004" s="5"/>
      <c r="N2004" s="5"/>
      <c r="P2004" s="5"/>
      <c r="Q2004" s="5"/>
      <c r="R2004" s="5"/>
      <c r="S2004" s="5"/>
      <c r="U2004" s="5"/>
      <c r="W2004" s="5"/>
    </row>
    <row r="2005" spans="3:23" x14ac:dyDescent="0.2">
      <c r="C2005" s="5"/>
      <c r="I2005" s="5"/>
      <c r="L2005" s="5"/>
      <c r="M2005" s="5"/>
      <c r="N2005" s="5"/>
      <c r="P2005" s="5"/>
      <c r="Q2005" s="5"/>
      <c r="R2005" s="5"/>
      <c r="S2005" s="5"/>
      <c r="U2005" s="5"/>
      <c r="W2005" s="5"/>
    </row>
    <row r="2006" spans="3:23" x14ac:dyDescent="0.2">
      <c r="C2006" s="5"/>
      <c r="I2006" s="5"/>
      <c r="L2006" s="5"/>
      <c r="M2006" s="5"/>
      <c r="N2006" s="5"/>
      <c r="P2006" s="5"/>
      <c r="Q2006" s="5"/>
      <c r="R2006" s="5"/>
      <c r="S2006" s="5"/>
      <c r="U2006" s="5"/>
      <c r="W2006" s="5"/>
    </row>
    <row r="2007" spans="3:23" x14ac:dyDescent="0.2">
      <c r="C2007" s="5"/>
      <c r="I2007" s="5"/>
      <c r="L2007" s="5"/>
      <c r="M2007" s="5"/>
      <c r="N2007" s="5"/>
      <c r="P2007" s="5"/>
      <c r="Q2007" s="5"/>
      <c r="R2007" s="5"/>
      <c r="S2007" s="5"/>
      <c r="U2007" s="5"/>
      <c r="W2007" s="5"/>
    </row>
    <row r="2008" spans="3:23" x14ac:dyDescent="0.2">
      <c r="C2008" s="5"/>
      <c r="I2008" s="5"/>
      <c r="L2008" s="5"/>
      <c r="M2008" s="5"/>
      <c r="N2008" s="5"/>
      <c r="P2008" s="5"/>
      <c r="Q2008" s="5"/>
      <c r="R2008" s="5"/>
      <c r="S2008" s="5"/>
      <c r="U2008" s="5"/>
      <c r="W2008" s="5"/>
    </row>
    <row r="2009" spans="3:23" x14ac:dyDescent="0.2">
      <c r="C2009" s="5"/>
      <c r="I2009" s="5"/>
      <c r="L2009" s="5"/>
      <c r="M2009" s="5"/>
      <c r="N2009" s="5"/>
      <c r="P2009" s="5"/>
      <c r="Q2009" s="5"/>
      <c r="R2009" s="5"/>
      <c r="S2009" s="5"/>
      <c r="U2009" s="5"/>
      <c r="W2009" s="5"/>
    </row>
    <row r="2010" spans="3:23" x14ac:dyDescent="0.2">
      <c r="C2010" s="5"/>
      <c r="I2010" s="5"/>
      <c r="L2010" s="5"/>
      <c r="M2010" s="5"/>
      <c r="N2010" s="5"/>
      <c r="P2010" s="5"/>
      <c r="Q2010" s="5"/>
      <c r="R2010" s="5"/>
      <c r="S2010" s="5"/>
      <c r="U2010" s="5"/>
      <c r="W2010" s="5"/>
    </row>
    <row r="2011" spans="3:23" x14ac:dyDescent="0.2">
      <c r="C2011" s="5"/>
      <c r="I2011" s="5"/>
      <c r="L2011" s="5"/>
      <c r="M2011" s="5"/>
      <c r="N2011" s="5"/>
      <c r="P2011" s="5"/>
      <c r="Q2011" s="5"/>
      <c r="R2011" s="5"/>
      <c r="S2011" s="5"/>
      <c r="U2011" s="5"/>
      <c r="W2011" s="5"/>
    </row>
    <row r="2012" spans="3:23" x14ac:dyDescent="0.2">
      <c r="C2012" s="5"/>
      <c r="I2012" s="5"/>
      <c r="L2012" s="5"/>
      <c r="M2012" s="5"/>
      <c r="N2012" s="5"/>
      <c r="P2012" s="5"/>
      <c r="Q2012" s="5"/>
      <c r="R2012" s="5"/>
      <c r="S2012" s="5"/>
      <c r="U2012" s="5"/>
      <c r="W2012" s="5"/>
    </row>
    <row r="2013" spans="3:23" ht="15" customHeight="1" x14ac:dyDescent="0.2">
      <c r="C2013" s="5"/>
      <c r="I2013" s="5"/>
      <c r="L2013" s="5"/>
      <c r="M2013" s="5"/>
      <c r="N2013" s="5"/>
      <c r="P2013" s="5"/>
      <c r="Q2013" s="5"/>
      <c r="R2013" s="5"/>
      <c r="S2013" s="5"/>
      <c r="U2013" s="5"/>
      <c r="W2013" s="5"/>
    </row>
    <row r="2014" spans="3:23" x14ac:dyDescent="0.2">
      <c r="C2014" s="5"/>
      <c r="I2014" s="5"/>
      <c r="L2014" s="5"/>
      <c r="M2014" s="5"/>
      <c r="N2014" s="5"/>
      <c r="P2014" s="5"/>
      <c r="Q2014" s="5"/>
      <c r="R2014" s="5"/>
      <c r="S2014" s="5"/>
      <c r="U2014" s="5"/>
      <c r="W2014" s="5"/>
    </row>
    <row r="2015" spans="3:23" x14ac:dyDescent="0.2">
      <c r="C2015" s="5"/>
      <c r="I2015" s="5"/>
      <c r="L2015" s="5"/>
      <c r="M2015" s="5"/>
      <c r="N2015" s="5"/>
      <c r="P2015" s="5"/>
      <c r="Q2015" s="5"/>
      <c r="R2015" s="5"/>
      <c r="S2015" s="5"/>
      <c r="U2015" s="5"/>
      <c r="W2015" s="5"/>
    </row>
    <row r="2016" spans="3:23" x14ac:dyDescent="0.2">
      <c r="C2016" s="5"/>
      <c r="I2016" s="5"/>
      <c r="L2016" s="5"/>
      <c r="M2016" s="5"/>
      <c r="N2016" s="5"/>
      <c r="P2016" s="5"/>
      <c r="Q2016" s="5"/>
      <c r="R2016" s="5"/>
      <c r="S2016" s="5"/>
      <c r="U2016" s="5"/>
      <c r="W2016" s="5"/>
    </row>
    <row r="2017" spans="3:23" x14ac:dyDescent="0.2">
      <c r="C2017" s="5"/>
      <c r="I2017" s="5"/>
      <c r="L2017" s="5"/>
      <c r="M2017" s="5"/>
      <c r="N2017" s="5"/>
      <c r="P2017" s="5"/>
      <c r="Q2017" s="5"/>
      <c r="R2017" s="5"/>
      <c r="S2017" s="5"/>
      <c r="U2017" s="5"/>
      <c r="W2017" s="5"/>
    </row>
    <row r="2018" spans="3:23" x14ac:dyDescent="0.2">
      <c r="C2018" s="5"/>
      <c r="I2018" s="5"/>
      <c r="L2018" s="5"/>
      <c r="M2018" s="5"/>
      <c r="N2018" s="5"/>
      <c r="P2018" s="5"/>
      <c r="Q2018" s="5"/>
      <c r="R2018" s="5"/>
      <c r="S2018" s="5"/>
      <c r="U2018" s="5"/>
      <c r="W2018" s="5"/>
    </row>
    <row r="2019" spans="3:23" x14ac:dyDescent="0.2">
      <c r="C2019" s="5"/>
      <c r="I2019" s="5"/>
      <c r="L2019" s="5"/>
      <c r="M2019" s="5"/>
      <c r="N2019" s="5"/>
      <c r="P2019" s="5"/>
      <c r="Q2019" s="5"/>
      <c r="R2019" s="5"/>
      <c r="S2019" s="5"/>
      <c r="U2019" s="5"/>
      <c r="W2019" s="5"/>
    </row>
    <row r="2020" spans="3:23" x14ac:dyDescent="0.2">
      <c r="C2020" s="5"/>
      <c r="I2020" s="5"/>
      <c r="L2020" s="5"/>
      <c r="M2020" s="5"/>
      <c r="N2020" s="5"/>
      <c r="P2020" s="5"/>
      <c r="Q2020" s="5"/>
      <c r="R2020" s="5"/>
      <c r="S2020" s="5"/>
      <c r="U2020" s="5"/>
      <c r="W2020" s="5"/>
    </row>
    <row r="2021" spans="3:23" x14ac:dyDescent="0.2">
      <c r="C2021" s="5"/>
      <c r="I2021" s="5"/>
      <c r="L2021" s="5"/>
      <c r="M2021" s="5"/>
      <c r="N2021" s="5"/>
      <c r="P2021" s="5"/>
      <c r="Q2021" s="5"/>
      <c r="R2021" s="5"/>
      <c r="S2021" s="5"/>
      <c r="U2021" s="5"/>
      <c r="W2021" s="5"/>
    </row>
    <row r="2022" spans="3:23" x14ac:dyDescent="0.2">
      <c r="C2022" s="5"/>
      <c r="I2022" s="5"/>
      <c r="L2022" s="5"/>
      <c r="M2022" s="5"/>
      <c r="N2022" s="5"/>
      <c r="P2022" s="5"/>
      <c r="Q2022" s="5"/>
      <c r="R2022" s="5"/>
      <c r="S2022" s="5"/>
      <c r="U2022" s="5"/>
      <c r="W2022" s="5"/>
    </row>
    <row r="2023" spans="3:23" x14ac:dyDescent="0.2">
      <c r="C2023" s="5"/>
      <c r="I2023" s="5"/>
      <c r="L2023" s="5"/>
      <c r="M2023" s="5"/>
      <c r="N2023" s="5"/>
      <c r="P2023" s="5"/>
      <c r="Q2023" s="5"/>
      <c r="R2023" s="5"/>
      <c r="S2023" s="5"/>
      <c r="U2023" s="5"/>
      <c r="W2023" s="5"/>
    </row>
    <row r="2024" spans="3:23" x14ac:dyDescent="0.2">
      <c r="C2024" s="5"/>
      <c r="I2024" s="5"/>
      <c r="L2024" s="5"/>
      <c r="M2024" s="5"/>
      <c r="N2024" s="5"/>
      <c r="P2024" s="5"/>
      <c r="Q2024" s="5"/>
      <c r="R2024" s="5"/>
      <c r="S2024" s="5"/>
      <c r="U2024" s="5"/>
      <c r="W2024" s="5"/>
    </row>
    <row r="2025" spans="3:23" x14ac:dyDescent="0.2">
      <c r="C2025" s="5"/>
      <c r="I2025" s="5"/>
      <c r="L2025" s="5"/>
      <c r="M2025" s="5"/>
      <c r="N2025" s="5"/>
      <c r="P2025" s="5"/>
      <c r="Q2025" s="5"/>
      <c r="R2025" s="5"/>
      <c r="S2025" s="5"/>
      <c r="U2025" s="5"/>
      <c r="W2025" s="5"/>
    </row>
    <row r="2026" spans="3:23" x14ac:dyDescent="0.2">
      <c r="C2026" s="5"/>
      <c r="I2026" s="5"/>
      <c r="L2026" s="5"/>
      <c r="M2026" s="5"/>
      <c r="N2026" s="5"/>
      <c r="P2026" s="5"/>
      <c r="Q2026" s="5"/>
      <c r="R2026" s="5"/>
      <c r="S2026" s="5"/>
      <c r="U2026" s="5"/>
      <c r="W2026" s="5"/>
    </row>
    <row r="2027" spans="3:23" x14ac:dyDescent="0.2">
      <c r="C2027" s="5"/>
      <c r="I2027" s="5"/>
      <c r="L2027" s="5"/>
      <c r="M2027" s="5"/>
      <c r="N2027" s="5"/>
      <c r="P2027" s="5"/>
      <c r="Q2027" s="5"/>
      <c r="R2027" s="5"/>
      <c r="S2027" s="5"/>
      <c r="U2027" s="5"/>
      <c r="W2027" s="5"/>
    </row>
    <row r="2028" spans="3:23" x14ac:dyDescent="0.2">
      <c r="C2028" s="5"/>
      <c r="I2028" s="5"/>
      <c r="L2028" s="5"/>
      <c r="M2028" s="5"/>
      <c r="N2028" s="5"/>
      <c r="P2028" s="5"/>
      <c r="Q2028" s="5"/>
      <c r="R2028" s="5"/>
      <c r="S2028" s="5"/>
      <c r="U2028" s="5"/>
      <c r="W2028" s="5"/>
    </row>
    <row r="2029" spans="3:23" x14ac:dyDescent="0.2">
      <c r="C2029" s="5"/>
      <c r="I2029" s="5"/>
      <c r="L2029" s="5"/>
      <c r="M2029" s="5"/>
      <c r="N2029" s="5"/>
      <c r="P2029" s="5"/>
      <c r="Q2029" s="5"/>
      <c r="R2029" s="5"/>
      <c r="S2029" s="5"/>
      <c r="U2029" s="5"/>
      <c r="W2029" s="5"/>
    </row>
    <row r="2030" spans="3:23" x14ac:dyDescent="0.2">
      <c r="C2030" s="5"/>
      <c r="I2030" s="5"/>
      <c r="L2030" s="5"/>
      <c r="M2030" s="5"/>
      <c r="N2030" s="5"/>
      <c r="P2030" s="5"/>
      <c r="Q2030" s="5"/>
      <c r="R2030" s="5"/>
      <c r="S2030" s="5"/>
      <c r="U2030" s="5"/>
      <c r="W2030" s="5"/>
    </row>
    <row r="2031" spans="3:23" x14ac:dyDescent="0.2">
      <c r="C2031" s="5"/>
      <c r="I2031" s="5"/>
      <c r="L2031" s="5"/>
      <c r="M2031" s="5"/>
      <c r="N2031" s="5"/>
      <c r="P2031" s="5"/>
      <c r="Q2031" s="5"/>
      <c r="R2031" s="5"/>
      <c r="S2031" s="5"/>
      <c r="U2031" s="5"/>
      <c r="W2031" s="5"/>
    </row>
    <row r="2032" spans="3:23" x14ac:dyDescent="0.2">
      <c r="C2032" s="5"/>
      <c r="I2032" s="5"/>
      <c r="L2032" s="5"/>
      <c r="M2032" s="5"/>
      <c r="N2032" s="5"/>
      <c r="P2032" s="5"/>
      <c r="Q2032" s="5"/>
      <c r="R2032" s="5"/>
      <c r="S2032" s="5"/>
      <c r="U2032" s="5"/>
      <c r="W2032" s="5"/>
    </row>
    <row r="2033" spans="3:23" x14ac:dyDescent="0.2">
      <c r="C2033" s="5"/>
      <c r="I2033" s="5"/>
      <c r="L2033" s="5"/>
      <c r="M2033" s="5"/>
      <c r="N2033" s="5"/>
      <c r="P2033" s="5"/>
      <c r="Q2033" s="5"/>
      <c r="R2033" s="5"/>
      <c r="S2033" s="5"/>
      <c r="U2033" s="5"/>
      <c r="W2033" s="5"/>
    </row>
    <row r="2034" spans="3:23" x14ac:dyDescent="0.2">
      <c r="C2034" s="5"/>
      <c r="I2034" s="5"/>
      <c r="L2034" s="5"/>
      <c r="M2034" s="5"/>
      <c r="N2034" s="5"/>
      <c r="P2034" s="5"/>
      <c r="Q2034" s="5"/>
      <c r="R2034" s="5"/>
      <c r="S2034" s="5"/>
      <c r="U2034" s="5"/>
      <c r="W2034" s="5"/>
    </row>
    <row r="2035" spans="3:23" x14ac:dyDescent="0.2">
      <c r="C2035" s="5"/>
      <c r="I2035" s="5"/>
      <c r="L2035" s="5"/>
      <c r="M2035" s="5"/>
      <c r="N2035" s="5"/>
      <c r="P2035" s="5"/>
      <c r="Q2035" s="5"/>
      <c r="R2035" s="5"/>
      <c r="S2035" s="5"/>
      <c r="U2035" s="5"/>
      <c r="W2035" s="5"/>
    </row>
    <row r="2036" spans="3:23" x14ac:dyDescent="0.2">
      <c r="C2036" s="5"/>
      <c r="I2036" s="5"/>
      <c r="L2036" s="5"/>
      <c r="M2036" s="5"/>
      <c r="N2036" s="5"/>
      <c r="P2036" s="5"/>
      <c r="Q2036" s="5"/>
      <c r="R2036" s="5"/>
      <c r="S2036" s="5"/>
      <c r="U2036" s="5"/>
      <c r="W2036" s="5"/>
    </row>
    <row r="2037" spans="3:23" x14ac:dyDescent="0.2">
      <c r="C2037" s="5"/>
      <c r="I2037" s="5"/>
      <c r="L2037" s="5"/>
      <c r="M2037" s="5"/>
      <c r="N2037" s="5"/>
      <c r="P2037" s="5"/>
      <c r="Q2037" s="5"/>
      <c r="R2037" s="5"/>
      <c r="S2037" s="5"/>
      <c r="U2037" s="5"/>
      <c r="W2037" s="5"/>
    </row>
    <row r="2038" spans="3:23" x14ac:dyDescent="0.2">
      <c r="C2038" s="5"/>
      <c r="I2038" s="5"/>
      <c r="L2038" s="5"/>
      <c r="M2038" s="5"/>
      <c r="N2038" s="5"/>
      <c r="P2038" s="5"/>
      <c r="Q2038" s="5"/>
      <c r="R2038" s="5"/>
      <c r="S2038" s="5"/>
      <c r="U2038" s="5"/>
      <c r="W2038" s="5"/>
    </row>
    <row r="2039" spans="3:23" x14ac:dyDescent="0.2">
      <c r="C2039" s="5"/>
      <c r="I2039" s="5"/>
      <c r="L2039" s="5"/>
      <c r="M2039" s="5"/>
      <c r="N2039" s="5"/>
      <c r="P2039" s="5"/>
      <c r="Q2039" s="5"/>
      <c r="R2039" s="5"/>
      <c r="S2039" s="5"/>
      <c r="U2039" s="5"/>
      <c r="W2039" s="5"/>
    </row>
    <row r="2040" spans="3:23" x14ac:dyDescent="0.2">
      <c r="C2040" s="5"/>
      <c r="I2040" s="5"/>
      <c r="L2040" s="5"/>
      <c r="M2040" s="5"/>
      <c r="N2040" s="5"/>
      <c r="P2040" s="5"/>
      <c r="Q2040" s="5"/>
      <c r="R2040" s="5"/>
      <c r="S2040" s="5"/>
      <c r="U2040" s="5"/>
      <c r="W2040" s="5"/>
    </row>
    <row r="2041" spans="3:23" x14ac:dyDescent="0.2">
      <c r="C2041" s="5"/>
      <c r="I2041" s="5"/>
      <c r="L2041" s="5"/>
      <c r="M2041" s="5"/>
      <c r="N2041" s="5"/>
      <c r="P2041" s="5"/>
      <c r="Q2041" s="5"/>
      <c r="R2041" s="5"/>
      <c r="S2041" s="5"/>
      <c r="U2041" s="5"/>
      <c r="W2041" s="5"/>
    </row>
    <row r="2042" spans="3:23" x14ac:dyDescent="0.2">
      <c r="C2042" s="5"/>
      <c r="I2042" s="5"/>
      <c r="L2042" s="5"/>
      <c r="M2042" s="5"/>
      <c r="N2042" s="5"/>
      <c r="P2042" s="5"/>
      <c r="Q2042" s="5"/>
      <c r="R2042" s="5"/>
      <c r="S2042" s="5"/>
      <c r="U2042" s="5"/>
      <c r="W2042" s="5"/>
    </row>
    <row r="2043" spans="3:23" x14ac:dyDescent="0.2">
      <c r="C2043" s="5"/>
      <c r="I2043" s="5"/>
      <c r="L2043" s="5"/>
      <c r="M2043" s="5"/>
      <c r="N2043" s="5"/>
      <c r="P2043" s="5"/>
      <c r="Q2043" s="5"/>
      <c r="R2043" s="5"/>
      <c r="S2043" s="5"/>
      <c r="U2043" s="5"/>
      <c r="W2043" s="5"/>
    </row>
    <row r="2044" spans="3:23" x14ac:dyDescent="0.2">
      <c r="C2044" s="5"/>
      <c r="I2044" s="5"/>
      <c r="L2044" s="5"/>
      <c r="M2044" s="5"/>
      <c r="N2044" s="5"/>
      <c r="P2044" s="5"/>
      <c r="Q2044" s="5"/>
      <c r="R2044" s="5"/>
      <c r="S2044" s="5"/>
      <c r="U2044" s="5"/>
      <c r="W2044" s="5"/>
    </row>
    <row r="2045" spans="3:23" x14ac:dyDescent="0.2">
      <c r="C2045" s="5"/>
      <c r="I2045" s="5"/>
      <c r="L2045" s="5"/>
      <c r="M2045" s="5"/>
      <c r="N2045" s="5"/>
      <c r="P2045" s="5"/>
      <c r="Q2045" s="5"/>
      <c r="R2045" s="5"/>
      <c r="S2045" s="5"/>
      <c r="U2045" s="5"/>
      <c r="W2045" s="5"/>
    </row>
    <row r="2046" spans="3:23" x14ac:dyDescent="0.2">
      <c r="C2046" s="5"/>
      <c r="I2046" s="5"/>
      <c r="L2046" s="5"/>
      <c r="M2046" s="5"/>
      <c r="N2046" s="5"/>
      <c r="P2046" s="5"/>
      <c r="Q2046" s="5"/>
      <c r="R2046" s="5"/>
      <c r="S2046" s="5"/>
      <c r="U2046" s="5"/>
      <c r="W2046" s="5"/>
    </row>
    <row r="2047" spans="3:23" x14ac:dyDescent="0.2">
      <c r="C2047" s="5"/>
      <c r="I2047" s="5"/>
      <c r="L2047" s="5"/>
      <c r="M2047" s="5"/>
      <c r="N2047" s="5"/>
      <c r="P2047" s="5"/>
      <c r="Q2047" s="5"/>
      <c r="R2047" s="5"/>
      <c r="S2047" s="5"/>
      <c r="U2047" s="5"/>
      <c r="W2047" s="5"/>
    </row>
    <row r="2048" spans="3:23" x14ac:dyDescent="0.2">
      <c r="C2048" s="5"/>
      <c r="I2048" s="5"/>
      <c r="L2048" s="5"/>
      <c r="M2048" s="5"/>
      <c r="N2048" s="5"/>
      <c r="P2048" s="5"/>
      <c r="Q2048" s="5"/>
      <c r="R2048" s="5"/>
      <c r="S2048" s="5"/>
      <c r="U2048" s="5"/>
      <c r="W2048" s="5"/>
    </row>
    <row r="2049" spans="3:23" x14ac:dyDescent="0.2">
      <c r="C2049" s="5"/>
      <c r="I2049" s="5"/>
      <c r="L2049" s="5"/>
      <c r="M2049" s="5"/>
      <c r="N2049" s="5"/>
      <c r="P2049" s="5"/>
      <c r="Q2049" s="5"/>
      <c r="R2049" s="5"/>
      <c r="S2049" s="5"/>
      <c r="U2049" s="5"/>
      <c r="W2049" s="5"/>
    </row>
    <row r="2050" spans="3:23" x14ac:dyDescent="0.2">
      <c r="C2050" s="5"/>
      <c r="I2050" s="5"/>
      <c r="L2050" s="5"/>
      <c r="M2050" s="5"/>
      <c r="N2050" s="5"/>
      <c r="P2050" s="5"/>
      <c r="Q2050" s="5"/>
      <c r="R2050" s="5"/>
      <c r="S2050" s="5"/>
      <c r="U2050" s="5"/>
      <c r="W2050" s="5"/>
    </row>
    <row r="2051" spans="3:23" x14ac:dyDescent="0.2">
      <c r="C2051" s="5"/>
      <c r="I2051" s="5"/>
      <c r="L2051" s="5"/>
      <c r="M2051" s="5"/>
      <c r="N2051" s="5"/>
      <c r="P2051" s="5"/>
      <c r="Q2051" s="5"/>
      <c r="R2051" s="5"/>
      <c r="S2051" s="5"/>
      <c r="U2051" s="5"/>
      <c r="W2051" s="5"/>
    </row>
    <row r="2052" spans="3:23" x14ac:dyDescent="0.2">
      <c r="C2052" s="5"/>
      <c r="I2052" s="5"/>
      <c r="L2052" s="5"/>
      <c r="M2052" s="5"/>
      <c r="N2052" s="5"/>
      <c r="P2052" s="5"/>
      <c r="Q2052" s="5"/>
      <c r="R2052" s="5"/>
      <c r="S2052" s="5"/>
      <c r="U2052" s="5"/>
      <c r="W2052" s="5"/>
    </row>
    <row r="2053" spans="3:23" x14ac:dyDescent="0.2">
      <c r="C2053" s="5"/>
      <c r="I2053" s="5"/>
      <c r="L2053" s="5"/>
      <c r="M2053" s="5"/>
      <c r="N2053" s="5"/>
      <c r="P2053" s="5"/>
      <c r="Q2053" s="5"/>
      <c r="R2053" s="5"/>
      <c r="S2053" s="5"/>
      <c r="U2053" s="5"/>
      <c r="W2053" s="5"/>
    </row>
    <row r="2054" spans="3:23" x14ac:dyDescent="0.2">
      <c r="C2054" s="5"/>
      <c r="I2054" s="5"/>
      <c r="L2054" s="5"/>
      <c r="M2054" s="5"/>
      <c r="N2054" s="5"/>
      <c r="P2054" s="5"/>
      <c r="Q2054" s="5"/>
      <c r="R2054" s="5"/>
      <c r="S2054" s="5"/>
      <c r="U2054" s="5"/>
      <c r="W2054" s="5"/>
    </row>
    <row r="2055" spans="3:23" x14ac:dyDescent="0.2">
      <c r="C2055" s="5"/>
      <c r="I2055" s="5"/>
      <c r="L2055" s="5"/>
      <c r="M2055" s="5"/>
      <c r="N2055" s="5"/>
      <c r="P2055" s="5"/>
      <c r="Q2055" s="5"/>
      <c r="R2055" s="5"/>
      <c r="S2055" s="5"/>
      <c r="U2055" s="5"/>
      <c r="W2055" s="5"/>
    </row>
    <row r="2056" spans="3:23" x14ac:dyDescent="0.2">
      <c r="C2056" s="5"/>
      <c r="I2056" s="5"/>
      <c r="L2056" s="5"/>
      <c r="M2056" s="5"/>
      <c r="N2056" s="5"/>
      <c r="P2056" s="5"/>
      <c r="Q2056" s="5"/>
      <c r="R2056" s="5"/>
      <c r="S2056" s="5"/>
      <c r="U2056" s="5"/>
      <c r="W2056" s="5"/>
    </row>
    <row r="2057" spans="3:23" x14ac:dyDescent="0.2">
      <c r="C2057" s="5"/>
      <c r="I2057" s="5"/>
      <c r="L2057" s="5"/>
      <c r="M2057" s="5"/>
      <c r="N2057" s="5"/>
      <c r="P2057" s="5"/>
      <c r="Q2057" s="5"/>
      <c r="R2057" s="5"/>
      <c r="S2057" s="5"/>
      <c r="U2057" s="5"/>
      <c r="W2057" s="5"/>
    </row>
    <row r="2058" spans="3:23" x14ac:dyDescent="0.2">
      <c r="C2058" s="5"/>
      <c r="I2058" s="5"/>
      <c r="L2058" s="5"/>
      <c r="M2058" s="5"/>
      <c r="N2058" s="5"/>
      <c r="P2058" s="5"/>
      <c r="Q2058" s="5"/>
      <c r="R2058" s="5"/>
      <c r="S2058" s="5"/>
      <c r="U2058" s="5"/>
      <c r="W2058" s="5"/>
    </row>
    <row r="2059" spans="3:23" x14ac:dyDescent="0.2">
      <c r="C2059" s="5"/>
      <c r="I2059" s="5"/>
      <c r="L2059" s="5"/>
      <c r="M2059" s="5"/>
      <c r="N2059" s="5"/>
      <c r="P2059" s="5"/>
      <c r="Q2059" s="5"/>
      <c r="R2059" s="5"/>
      <c r="S2059" s="5"/>
      <c r="U2059" s="5"/>
      <c r="W2059" s="5"/>
    </row>
    <row r="2060" spans="3:23" x14ac:dyDescent="0.2">
      <c r="C2060" s="5"/>
      <c r="I2060" s="5"/>
      <c r="L2060" s="5"/>
      <c r="M2060" s="5"/>
      <c r="N2060" s="5"/>
      <c r="P2060" s="5"/>
      <c r="Q2060" s="5"/>
      <c r="R2060" s="5"/>
      <c r="S2060" s="5"/>
      <c r="U2060" s="5"/>
      <c r="W2060" s="5"/>
    </row>
    <row r="2061" spans="3:23" x14ac:dyDescent="0.2">
      <c r="C2061" s="5"/>
      <c r="I2061" s="5"/>
      <c r="L2061" s="5"/>
      <c r="M2061" s="5"/>
      <c r="N2061" s="5"/>
      <c r="P2061" s="5"/>
      <c r="Q2061" s="5"/>
      <c r="R2061" s="5"/>
      <c r="S2061" s="5"/>
      <c r="U2061" s="5"/>
      <c r="W2061" s="5"/>
    </row>
    <row r="2062" spans="3:23" x14ac:dyDescent="0.2">
      <c r="C2062" s="5"/>
      <c r="I2062" s="5"/>
      <c r="L2062" s="5"/>
      <c r="M2062" s="5"/>
      <c r="N2062" s="5"/>
      <c r="P2062" s="5"/>
      <c r="Q2062" s="5"/>
      <c r="R2062" s="5"/>
      <c r="S2062" s="5"/>
      <c r="U2062" s="5"/>
      <c r="W2062" s="5"/>
    </row>
    <row r="2063" spans="3:23" x14ac:dyDescent="0.2">
      <c r="C2063" s="5"/>
      <c r="I2063" s="5"/>
      <c r="L2063" s="5"/>
      <c r="M2063" s="5"/>
      <c r="N2063" s="5"/>
      <c r="P2063" s="5"/>
      <c r="Q2063" s="5"/>
      <c r="R2063" s="5"/>
      <c r="S2063" s="5"/>
      <c r="U2063" s="5"/>
      <c r="W2063" s="5"/>
    </row>
    <row r="2064" spans="3:23" x14ac:dyDescent="0.2">
      <c r="C2064" s="5"/>
      <c r="I2064" s="5"/>
      <c r="L2064" s="5"/>
      <c r="M2064" s="5"/>
      <c r="N2064" s="5"/>
      <c r="P2064" s="5"/>
      <c r="Q2064" s="5"/>
      <c r="R2064" s="5"/>
      <c r="S2064" s="5"/>
      <c r="U2064" s="5"/>
      <c r="W2064" s="5"/>
    </row>
    <row r="2065" spans="3:23" x14ac:dyDescent="0.2">
      <c r="C2065" s="5"/>
      <c r="I2065" s="5"/>
      <c r="L2065" s="5"/>
      <c r="M2065" s="5"/>
      <c r="N2065" s="5"/>
      <c r="P2065" s="5"/>
      <c r="Q2065" s="5"/>
      <c r="R2065" s="5"/>
      <c r="S2065" s="5"/>
      <c r="U2065" s="5"/>
      <c r="W2065" s="5"/>
    </row>
    <row r="2066" spans="3:23" x14ac:dyDescent="0.2">
      <c r="C2066" s="5"/>
      <c r="I2066" s="5"/>
      <c r="L2066" s="5"/>
      <c r="M2066" s="5"/>
      <c r="N2066" s="5"/>
      <c r="P2066" s="5"/>
      <c r="Q2066" s="5"/>
      <c r="R2066" s="5"/>
      <c r="S2066" s="5"/>
      <c r="U2066" s="5"/>
      <c r="W2066" s="5"/>
    </row>
    <row r="2067" spans="3:23" x14ac:dyDescent="0.2">
      <c r="C2067" s="5"/>
      <c r="I2067" s="5"/>
      <c r="L2067" s="5"/>
      <c r="M2067" s="5"/>
      <c r="N2067" s="5"/>
      <c r="P2067" s="5"/>
      <c r="Q2067" s="5"/>
      <c r="R2067" s="5"/>
      <c r="S2067" s="5"/>
      <c r="U2067" s="5"/>
      <c r="W2067" s="5"/>
    </row>
    <row r="2068" spans="3:23" x14ac:dyDescent="0.2">
      <c r="C2068" s="5"/>
      <c r="I2068" s="5"/>
      <c r="L2068" s="5"/>
      <c r="M2068" s="5"/>
      <c r="N2068" s="5"/>
      <c r="P2068" s="5"/>
      <c r="Q2068" s="5"/>
      <c r="R2068" s="5"/>
      <c r="S2068" s="5"/>
      <c r="U2068" s="5"/>
      <c r="W2068" s="5"/>
    </row>
    <row r="2069" spans="3:23" x14ac:dyDescent="0.2">
      <c r="C2069" s="5"/>
      <c r="I2069" s="5"/>
      <c r="L2069" s="5"/>
      <c r="M2069" s="5"/>
      <c r="N2069" s="5"/>
      <c r="P2069" s="5"/>
      <c r="Q2069" s="5"/>
      <c r="R2069" s="5"/>
      <c r="S2069" s="5"/>
      <c r="U2069" s="5"/>
      <c r="W2069" s="5"/>
    </row>
    <row r="2070" spans="3:23" x14ac:dyDescent="0.2">
      <c r="C2070" s="5"/>
      <c r="I2070" s="5"/>
      <c r="L2070" s="5"/>
      <c r="M2070" s="5"/>
      <c r="N2070" s="5"/>
      <c r="P2070" s="5"/>
      <c r="Q2070" s="5"/>
      <c r="R2070" s="5"/>
      <c r="S2070" s="5"/>
      <c r="U2070" s="5"/>
      <c r="W2070" s="5"/>
    </row>
    <row r="2071" spans="3:23" x14ac:dyDescent="0.2">
      <c r="C2071" s="5"/>
      <c r="I2071" s="5"/>
      <c r="L2071" s="5"/>
      <c r="M2071" s="5"/>
      <c r="N2071" s="5"/>
      <c r="P2071" s="5"/>
      <c r="Q2071" s="5"/>
      <c r="R2071" s="5"/>
      <c r="S2071" s="5"/>
      <c r="U2071" s="5"/>
      <c r="W2071" s="5"/>
    </row>
    <row r="2072" spans="3:23" x14ac:dyDescent="0.2">
      <c r="C2072" s="5"/>
      <c r="I2072" s="5"/>
      <c r="L2072" s="5"/>
      <c r="M2072" s="5"/>
      <c r="N2072" s="5"/>
      <c r="P2072" s="5"/>
      <c r="Q2072" s="5"/>
      <c r="R2072" s="5"/>
      <c r="S2072" s="5"/>
      <c r="U2072" s="5"/>
      <c r="W2072" s="5"/>
    </row>
    <row r="2073" spans="3:23" x14ac:dyDescent="0.2">
      <c r="C2073" s="5"/>
      <c r="I2073" s="5"/>
      <c r="L2073" s="5"/>
      <c r="M2073" s="5"/>
      <c r="N2073" s="5"/>
      <c r="P2073" s="5"/>
      <c r="Q2073" s="5"/>
      <c r="R2073" s="5"/>
      <c r="S2073" s="5"/>
      <c r="U2073" s="5"/>
      <c r="W2073" s="5"/>
    </row>
    <row r="2074" spans="3:23" x14ac:dyDescent="0.2">
      <c r="C2074" s="5"/>
      <c r="I2074" s="5"/>
      <c r="L2074" s="5"/>
      <c r="M2074" s="5"/>
      <c r="N2074" s="5"/>
      <c r="P2074" s="5"/>
      <c r="Q2074" s="5"/>
      <c r="R2074" s="5"/>
      <c r="S2074" s="5"/>
      <c r="U2074" s="5"/>
      <c r="W2074" s="5"/>
    </row>
    <row r="2075" spans="3:23" x14ac:dyDescent="0.2">
      <c r="C2075" s="5"/>
      <c r="I2075" s="5"/>
      <c r="L2075" s="5"/>
      <c r="M2075" s="5"/>
      <c r="N2075" s="5"/>
      <c r="P2075" s="5"/>
      <c r="Q2075" s="5"/>
      <c r="R2075" s="5"/>
      <c r="S2075" s="5"/>
      <c r="U2075" s="5"/>
      <c r="W2075" s="5"/>
    </row>
    <row r="2076" spans="3:23" x14ac:dyDescent="0.2">
      <c r="C2076" s="5"/>
      <c r="I2076" s="5"/>
      <c r="L2076" s="5"/>
      <c r="M2076" s="5"/>
      <c r="N2076" s="5"/>
      <c r="P2076" s="5"/>
      <c r="Q2076" s="5"/>
      <c r="R2076" s="5"/>
      <c r="S2076" s="5"/>
      <c r="U2076" s="5"/>
      <c r="W2076" s="5"/>
    </row>
    <row r="2077" spans="3:23" x14ac:dyDescent="0.2">
      <c r="C2077" s="5"/>
      <c r="I2077" s="5"/>
      <c r="L2077" s="5"/>
      <c r="M2077" s="5"/>
      <c r="N2077" s="5"/>
      <c r="P2077" s="5"/>
      <c r="Q2077" s="5"/>
      <c r="R2077" s="5"/>
      <c r="S2077" s="5"/>
      <c r="U2077" s="5"/>
      <c r="W2077" s="5"/>
    </row>
    <row r="2078" spans="3:23" x14ac:dyDescent="0.2">
      <c r="C2078" s="5"/>
      <c r="I2078" s="5"/>
      <c r="L2078" s="5"/>
      <c r="M2078" s="5"/>
      <c r="N2078" s="5"/>
      <c r="P2078" s="5"/>
      <c r="Q2078" s="5"/>
      <c r="R2078" s="5"/>
      <c r="S2078" s="5"/>
      <c r="U2078" s="5"/>
      <c r="W2078" s="5"/>
    </row>
    <row r="2079" spans="3:23" x14ac:dyDescent="0.2">
      <c r="C2079" s="5"/>
      <c r="I2079" s="5"/>
      <c r="L2079" s="5"/>
      <c r="M2079" s="5"/>
      <c r="N2079" s="5"/>
      <c r="P2079" s="5"/>
      <c r="Q2079" s="5"/>
      <c r="R2079" s="5"/>
      <c r="S2079" s="5"/>
      <c r="U2079" s="5"/>
      <c r="W2079" s="5"/>
    </row>
    <row r="2080" spans="3:23" x14ac:dyDescent="0.2">
      <c r="C2080" s="5"/>
      <c r="I2080" s="5"/>
      <c r="L2080" s="5"/>
      <c r="M2080" s="5"/>
      <c r="N2080" s="5"/>
      <c r="P2080" s="5"/>
      <c r="Q2080" s="5"/>
      <c r="R2080" s="5"/>
      <c r="S2080" s="5"/>
      <c r="U2080" s="5"/>
      <c r="W2080" s="5"/>
    </row>
    <row r="2081" spans="3:23" x14ac:dyDescent="0.2">
      <c r="C2081" s="5"/>
      <c r="I2081" s="5"/>
      <c r="L2081" s="5"/>
      <c r="M2081" s="5"/>
      <c r="N2081" s="5"/>
      <c r="P2081" s="5"/>
      <c r="Q2081" s="5"/>
      <c r="R2081" s="5"/>
      <c r="S2081" s="5"/>
      <c r="U2081" s="5"/>
      <c r="W2081" s="5"/>
    </row>
    <row r="2082" spans="3:23" x14ac:dyDescent="0.2">
      <c r="C2082" s="5"/>
      <c r="I2082" s="5"/>
      <c r="L2082" s="5"/>
      <c r="M2082" s="5"/>
      <c r="N2082" s="5"/>
      <c r="P2082" s="5"/>
      <c r="Q2082" s="5"/>
      <c r="R2082" s="5"/>
      <c r="S2082" s="5"/>
      <c r="U2082" s="5"/>
      <c r="W2082" s="5"/>
    </row>
    <row r="2083" spans="3:23" x14ac:dyDescent="0.2">
      <c r="C2083" s="5"/>
      <c r="I2083" s="5"/>
      <c r="L2083" s="5"/>
      <c r="M2083" s="5"/>
      <c r="N2083" s="5"/>
      <c r="P2083" s="5"/>
      <c r="Q2083" s="5"/>
      <c r="R2083" s="5"/>
      <c r="S2083" s="5"/>
      <c r="U2083" s="5"/>
      <c r="W2083" s="5"/>
    </row>
    <row r="2084" spans="3:23" x14ac:dyDescent="0.2">
      <c r="C2084" s="5"/>
      <c r="I2084" s="5"/>
      <c r="L2084" s="5"/>
      <c r="M2084" s="5"/>
      <c r="N2084" s="5"/>
      <c r="P2084" s="5"/>
      <c r="Q2084" s="5"/>
      <c r="R2084" s="5"/>
      <c r="S2084" s="5"/>
      <c r="U2084" s="5"/>
      <c r="W2084" s="5"/>
    </row>
    <row r="2085" spans="3:23" x14ac:dyDescent="0.2">
      <c r="C2085" s="5"/>
      <c r="I2085" s="5"/>
      <c r="L2085" s="5"/>
      <c r="M2085" s="5"/>
      <c r="N2085" s="5"/>
      <c r="P2085" s="5"/>
      <c r="Q2085" s="5"/>
      <c r="R2085" s="5"/>
      <c r="S2085" s="5"/>
      <c r="U2085" s="5"/>
      <c r="W2085" s="5"/>
    </row>
    <row r="2086" spans="3:23" x14ac:dyDescent="0.2">
      <c r="C2086" s="5"/>
      <c r="I2086" s="5"/>
      <c r="L2086" s="5"/>
      <c r="M2086" s="5"/>
      <c r="N2086" s="5"/>
      <c r="P2086" s="5"/>
      <c r="Q2086" s="5"/>
      <c r="R2086" s="5"/>
      <c r="S2086" s="5"/>
      <c r="U2086" s="5"/>
      <c r="W2086" s="5"/>
    </row>
    <row r="2087" spans="3:23" x14ac:dyDescent="0.2">
      <c r="C2087" s="5"/>
      <c r="I2087" s="5"/>
      <c r="L2087" s="5"/>
      <c r="M2087" s="5"/>
      <c r="N2087" s="5"/>
      <c r="P2087" s="5"/>
      <c r="Q2087" s="5"/>
      <c r="R2087" s="5"/>
      <c r="S2087" s="5"/>
      <c r="U2087" s="5"/>
      <c r="W2087" s="5"/>
    </row>
    <row r="2088" spans="3:23" x14ac:dyDescent="0.2">
      <c r="C2088" s="5"/>
      <c r="I2088" s="5"/>
      <c r="L2088" s="5"/>
      <c r="M2088" s="5"/>
      <c r="N2088" s="5"/>
      <c r="P2088" s="5"/>
      <c r="Q2088" s="5"/>
      <c r="R2088" s="5"/>
      <c r="S2088" s="5"/>
      <c r="U2088" s="5"/>
      <c r="W2088" s="5"/>
    </row>
    <row r="2089" spans="3:23" x14ac:dyDescent="0.2">
      <c r="C2089" s="5"/>
      <c r="I2089" s="5"/>
      <c r="L2089" s="5"/>
      <c r="M2089" s="5"/>
      <c r="N2089" s="5"/>
      <c r="P2089" s="5"/>
      <c r="Q2089" s="5"/>
      <c r="R2089" s="5"/>
      <c r="S2089" s="5"/>
      <c r="U2089" s="5"/>
      <c r="W2089" s="5"/>
    </row>
    <row r="2090" spans="3:23" x14ac:dyDescent="0.2">
      <c r="C2090" s="5"/>
      <c r="I2090" s="5"/>
      <c r="L2090" s="5"/>
      <c r="M2090" s="5"/>
      <c r="N2090" s="5"/>
      <c r="P2090" s="5"/>
      <c r="Q2090" s="5"/>
      <c r="R2090" s="5"/>
      <c r="S2090" s="5"/>
      <c r="U2090" s="5"/>
      <c r="W2090" s="5"/>
    </row>
    <row r="2091" spans="3:23" x14ac:dyDescent="0.2">
      <c r="C2091" s="5"/>
      <c r="I2091" s="5"/>
      <c r="L2091" s="5"/>
      <c r="M2091" s="5"/>
      <c r="N2091" s="5"/>
      <c r="P2091" s="5"/>
      <c r="Q2091" s="5"/>
      <c r="R2091" s="5"/>
      <c r="S2091" s="5"/>
      <c r="U2091" s="5"/>
      <c r="W2091" s="5"/>
    </row>
    <row r="2092" spans="3:23" x14ac:dyDescent="0.2">
      <c r="C2092" s="5"/>
      <c r="I2092" s="5"/>
      <c r="L2092" s="5"/>
      <c r="M2092" s="5"/>
      <c r="N2092" s="5"/>
      <c r="P2092" s="5"/>
      <c r="Q2092" s="5"/>
      <c r="R2092" s="5"/>
      <c r="S2092" s="5"/>
      <c r="U2092" s="5"/>
      <c r="W2092" s="5"/>
    </row>
    <row r="2093" spans="3:23" x14ac:dyDescent="0.2">
      <c r="C2093" s="5"/>
      <c r="I2093" s="5"/>
      <c r="L2093" s="5"/>
      <c r="M2093" s="5"/>
      <c r="N2093" s="5"/>
      <c r="P2093" s="5"/>
      <c r="Q2093" s="5"/>
      <c r="R2093" s="5"/>
      <c r="S2093" s="5"/>
      <c r="U2093" s="5"/>
      <c r="W2093" s="5"/>
    </row>
    <row r="2094" spans="3:23" x14ac:dyDescent="0.2">
      <c r="C2094" s="5"/>
      <c r="I2094" s="5"/>
      <c r="L2094" s="5"/>
      <c r="M2094" s="5"/>
      <c r="N2094" s="5"/>
      <c r="P2094" s="5"/>
      <c r="Q2094" s="5"/>
      <c r="R2094" s="5"/>
      <c r="S2094" s="5"/>
      <c r="U2094" s="5"/>
      <c r="W2094" s="5"/>
    </row>
    <row r="2095" spans="3:23" x14ac:dyDescent="0.2">
      <c r="C2095" s="5"/>
      <c r="I2095" s="5"/>
      <c r="L2095" s="5"/>
      <c r="M2095" s="5"/>
      <c r="N2095" s="5"/>
      <c r="P2095" s="5"/>
      <c r="Q2095" s="5"/>
      <c r="R2095" s="5"/>
      <c r="S2095" s="5"/>
      <c r="U2095" s="5"/>
      <c r="W2095" s="5"/>
    </row>
    <row r="2096" spans="3:23" x14ac:dyDescent="0.2">
      <c r="C2096" s="5"/>
      <c r="I2096" s="5"/>
      <c r="L2096" s="5"/>
      <c r="M2096" s="5"/>
      <c r="N2096" s="5"/>
      <c r="P2096" s="5"/>
      <c r="Q2096" s="5"/>
      <c r="R2096" s="5"/>
      <c r="S2096" s="5"/>
      <c r="U2096" s="5"/>
      <c r="W2096" s="5"/>
    </row>
    <row r="2097" spans="3:23" x14ac:dyDescent="0.2">
      <c r="C2097" s="5"/>
      <c r="I2097" s="5"/>
      <c r="L2097" s="5"/>
      <c r="M2097" s="5"/>
      <c r="N2097" s="5"/>
      <c r="P2097" s="5"/>
      <c r="Q2097" s="5"/>
      <c r="R2097" s="5"/>
      <c r="S2097" s="5"/>
      <c r="U2097" s="5"/>
      <c r="W2097" s="5"/>
    </row>
    <row r="2098" spans="3:23" x14ac:dyDescent="0.2">
      <c r="C2098" s="5"/>
      <c r="I2098" s="5"/>
      <c r="L2098" s="5"/>
      <c r="M2098" s="5"/>
      <c r="N2098" s="5"/>
      <c r="P2098" s="5"/>
      <c r="Q2098" s="5"/>
      <c r="R2098" s="5"/>
      <c r="S2098" s="5"/>
      <c r="U2098" s="5"/>
      <c r="W2098" s="5"/>
    </row>
    <row r="2099" spans="3:23" x14ac:dyDescent="0.2">
      <c r="C2099" s="5"/>
      <c r="I2099" s="5"/>
      <c r="L2099" s="5"/>
      <c r="M2099" s="5"/>
      <c r="N2099" s="5"/>
      <c r="P2099" s="5"/>
      <c r="Q2099" s="5"/>
      <c r="R2099" s="5"/>
      <c r="S2099" s="5"/>
      <c r="U2099" s="5"/>
      <c r="W2099" s="5"/>
    </row>
    <row r="2100" spans="3:23" x14ac:dyDescent="0.2">
      <c r="C2100" s="5"/>
      <c r="I2100" s="5"/>
      <c r="L2100" s="5"/>
      <c r="M2100" s="5"/>
      <c r="N2100" s="5"/>
      <c r="P2100" s="5"/>
      <c r="Q2100" s="5"/>
      <c r="R2100" s="5"/>
      <c r="S2100" s="5"/>
      <c r="U2100" s="5"/>
      <c r="W2100" s="5"/>
    </row>
    <row r="2101" spans="3:23" x14ac:dyDescent="0.2">
      <c r="C2101" s="5"/>
      <c r="I2101" s="5"/>
      <c r="L2101" s="5"/>
      <c r="M2101" s="5"/>
      <c r="N2101" s="5"/>
      <c r="P2101" s="5"/>
      <c r="Q2101" s="5"/>
      <c r="R2101" s="5"/>
      <c r="S2101" s="5"/>
      <c r="U2101" s="5"/>
      <c r="W2101" s="5"/>
    </row>
    <row r="2102" spans="3:23" x14ac:dyDescent="0.2">
      <c r="C2102" s="5"/>
      <c r="I2102" s="5"/>
      <c r="L2102" s="5"/>
      <c r="M2102" s="5"/>
      <c r="N2102" s="5"/>
      <c r="P2102" s="5"/>
      <c r="Q2102" s="5"/>
      <c r="R2102" s="5"/>
      <c r="S2102" s="5"/>
      <c r="U2102" s="5"/>
      <c r="W2102" s="5"/>
    </row>
    <row r="2103" spans="3:23" x14ac:dyDescent="0.2">
      <c r="C2103" s="5"/>
      <c r="I2103" s="5"/>
      <c r="L2103" s="5"/>
      <c r="M2103" s="5"/>
      <c r="N2103" s="5"/>
      <c r="P2103" s="5"/>
      <c r="Q2103" s="5"/>
      <c r="R2103" s="5"/>
      <c r="S2103" s="5"/>
      <c r="U2103" s="5"/>
      <c r="W2103" s="5"/>
    </row>
    <row r="2104" spans="3:23" x14ac:dyDescent="0.2">
      <c r="C2104" s="5"/>
      <c r="I2104" s="5"/>
      <c r="L2104" s="5"/>
      <c r="M2104" s="5"/>
      <c r="N2104" s="5"/>
      <c r="P2104" s="5"/>
      <c r="Q2104" s="5"/>
      <c r="R2104" s="5"/>
      <c r="S2104" s="5"/>
      <c r="U2104" s="5"/>
      <c r="W2104" s="5"/>
    </row>
    <row r="2105" spans="3:23" x14ac:dyDescent="0.2">
      <c r="C2105" s="5"/>
      <c r="I2105" s="5"/>
      <c r="L2105" s="5"/>
      <c r="M2105" s="5"/>
      <c r="N2105" s="5"/>
      <c r="P2105" s="5"/>
      <c r="Q2105" s="5"/>
      <c r="R2105" s="5"/>
      <c r="S2105" s="5"/>
      <c r="U2105" s="5"/>
      <c r="W2105" s="5"/>
    </row>
    <row r="2106" spans="3:23" x14ac:dyDescent="0.2">
      <c r="C2106" s="5"/>
      <c r="I2106" s="5"/>
      <c r="L2106" s="5"/>
      <c r="M2106" s="5"/>
      <c r="N2106" s="5"/>
      <c r="P2106" s="5"/>
      <c r="Q2106" s="5"/>
      <c r="R2106" s="5"/>
      <c r="S2106" s="5"/>
      <c r="U2106" s="5"/>
      <c r="W2106" s="5"/>
    </row>
    <row r="2107" spans="3:23" x14ac:dyDescent="0.2">
      <c r="C2107" s="5"/>
      <c r="I2107" s="5"/>
      <c r="L2107" s="5"/>
      <c r="M2107" s="5"/>
      <c r="N2107" s="5"/>
      <c r="P2107" s="5"/>
      <c r="Q2107" s="5"/>
      <c r="R2107" s="5"/>
      <c r="S2107" s="5"/>
      <c r="U2107" s="5"/>
      <c r="W2107" s="5"/>
    </row>
    <row r="2108" spans="3:23" x14ac:dyDescent="0.2">
      <c r="C2108" s="5"/>
      <c r="I2108" s="5"/>
      <c r="L2108" s="5"/>
      <c r="M2108" s="5"/>
      <c r="N2108" s="5"/>
      <c r="P2108" s="5"/>
      <c r="Q2108" s="5"/>
      <c r="R2108" s="5"/>
      <c r="S2108" s="5"/>
      <c r="U2108" s="5"/>
      <c r="W2108" s="5"/>
    </row>
    <row r="2109" spans="3:23" x14ac:dyDescent="0.2">
      <c r="C2109" s="5"/>
      <c r="I2109" s="5"/>
      <c r="L2109" s="5"/>
      <c r="M2109" s="5"/>
      <c r="N2109" s="5"/>
      <c r="P2109" s="5"/>
      <c r="Q2109" s="5"/>
      <c r="R2109" s="5"/>
      <c r="S2109" s="5"/>
      <c r="U2109" s="5"/>
      <c r="W2109" s="5"/>
    </row>
    <row r="2110" spans="3:23" x14ac:dyDescent="0.2">
      <c r="C2110" s="5"/>
      <c r="I2110" s="5"/>
      <c r="L2110" s="5"/>
      <c r="M2110" s="5"/>
      <c r="N2110" s="5"/>
      <c r="P2110" s="5"/>
      <c r="Q2110" s="5"/>
      <c r="R2110" s="5"/>
      <c r="S2110" s="5"/>
      <c r="U2110" s="5"/>
      <c r="W2110" s="5"/>
    </row>
    <row r="2111" spans="3:23" x14ac:dyDescent="0.2">
      <c r="C2111" s="5"/>
      <c r="I2111" s="5"/>
      <c r="L2111" s="5"/>
      <c r="M2111" s="5"/>
      <c r="N2111" s="5"/>
      <c r="P2111" s="5"/>
      <c r="Q2111" s="5"/>
      <c r="R2111" s="5"/>
      <c r="S2111" s="5"/>
      <c r="U2111" s="5"/>
      <c r="W2111" s="5"/>
    </row>
    <row r="2112" spans="3:23" x14ac:dyDescent="0.2">
      <c r="C2112" s="5"/>
      <c r="I2112" s="5"/>
      <c r="L2112" s="5"/>
      <c r="M2112" s="5"/>
      <c r="N2112" s="5"/>
      <c r="P2112" s="5"/>
      <c r="Q2112" s="5"/>
      <c r="R2112" s="5"/>
      <c r="S2112" s="5"/>
      <c r="U2112" s="5"/>
      <c r="W2112" s="5"/>
    </row>
    <row r="2113" spans="3:23" x14ac:dyDescent="0.2">
      <c r="C2113" s="5"/>
      <c r="I2113" s="5"/>
      <c r="L2113" s="5"/>
      <c r="M2113" s="5"/>
      <c r="N2113" s="5"/>
      <c r="P2113" s="5"/>
      <c r="Q2113" s="5"/>
      <c r="R2113" s="5"/>
      <c r="S2113" s="5"/>
      <c r="U2113" s="5"/>
      <c r="W2113" s="5"/>
    </row>
    <row r="2114" spans="3:23" x14ac:dyDescent="0.2">
      <c r="C2114" s="5"/>
      <c r="I2114" s="5"/>
      <c r="L2114" s="5"/>
      <c r="M2114" s="5"/>
      <c r="N2114" s="5"/>
      <c r="P2114" s="5"/>
      <c r="Q2114" s="5"/>
      <c r="R2114" s="5"/>
      <c r="S2114" s="5"/>
      <c r="U2114" s="5"/>
      <c r="W2114" s="5"/>
    </row>
    <row r="2115" spans="3:23" x14ac:dyDescent="0.2">
      <c r="C2115" s="5"/>
      <c r="I2115" s="5"/>
      <c r="L2115" s="5"/>
      <c r="M2115" s="5"/>
      <c r="N2115" s="5"/>
      <c r="P2115" s="5"/>
      <c r="Q2115" s="5"/>
      <c r="R2115" s="5"/>
      <c r="S2115" s="5"/>
      <c r="U2115" s="5"/>
      <c r="W2115" s="5"/>
    </row>
    <row r="2116" spans="3:23" x14ac:dyDescent="0.2">
      <c r="C2116" s="5"/>
      <c r="I2116" s="5"/>
      <c r="L2116" s="5"/>
      <c r="M2116" s="5"/>
      <c r="N2116" s="5"/>
      <c r="P2116" s="5"/>
      <c r="Q2116" s="5"/>
      <c r="R2116" s="5"/>
      <c r="S2116" s="5"/>
      <c r="U2116" s="5"/>
      <c r="W2116" s="5"/>
    </row>
    <row r="2117" spans="3:23" x14ac:dyDescent="0.2">
      <c r="C2117" s="5"/>
      <c r="I2117" s="5"/>
      <c r="L2117" s="5"/>
      <c r="M2117" s="5"/>
      <c r="N2117" s="5"/>
      <c r="P2117" s="5"/>
      <c r="Q2117" s="5"/>
      <c r="R2117" s="5"/>
      <c r="S2117" s="5"/>
      <c r="U2117" s="5"/>
      <c r="W2117" s="5"/>
    </row>
    <row r="2118" spans="3:23" x14ac:dyDescent="0.2">
      <c r="C2118" s="5"/>
      <c r="I2118" s="5"/>
      <c r="L2118" s="5"/>
      <c r="M2118" s="5"/>
      <c r="N2118" s="5"/>
      <c r="P2118" s="5"/>
      <c r="Q2118" s="5"/>
      <c r="R2118" s="5"/>
      <c r="S2118" s="5"/>
      <c r="U2118" s="5"/>
      <c r="W2118" s="5"/>
    </row>
    <row r="2119" spans="3:23" x14ac:dyDescent="0.2">
      <c r="C2119" s="5"/>
      <c r="I2119" s="5"/>
      <c r="L2119" s="5"/>
      <c r="M2119" s="5"/>
      <c r="N2119" s="5"/>
      <c r="P2119" s="5"/>
      <c r="Q2119" s="5"/>
      <c r="R2119" s="5"/>
      <c r="S2119" s="5"/>
      <c r="U2119" s="5"/>
      <c r="W2119" s="5"/>
    </row>
    <row r="2120" spans="3:23" x14ac:dyDescent="0.2">
      <c r="C2120" s="5"/>
      <c r="I2120" s="5"/>
      <c r="L2120" s="5"/>
      <c r="M2120" s="5"/>
      <c r="N2120" s="5"/>
      <c r="P2120" s="5"/>
      <c r="Q2120" s="5"/>
      <c r="R2120" s="5"/>
      <c r="S2120" s="5"/>
      <c r="U2120" s="5"/>
      <c r="W2120" s="5"/>
    </row>
    <row r="2121" spans="3:23" x14ac:dyDescent="0.2">
      <c r="C2121" s="5"/>
      <c r="I2121" s="5"/>
      <c r="L2121" s="5"/>
      <c r="M2121" s="5"/>
      <c r="N2121" s="5"/>
      <c r="P2121" s="5"/>
      <c r="Q2121" s="5"/>
      <c r="R2121" s="5"/>
      <c r="S2121" s="5"/>
      <c r="U2121" s="5"/>
      <c r="W2121" s="5"/>
    </row>
    <row r="2122" spans="3:23" x14ac:dyDescent="0.2">
      <c r="C2122" s="5"/>
      <c r="I2122" s="5"/>
      <c r="L2122" s="5"/>
      <c r="M2122" s="5"/>
      <c r="N2122" s="5"/>
      <c r="P2122" s="5"/>
      <c r="Q2122" s="5"/>
      <c r="R2122" s="5"/>
      <c r="S2122" s="5"/>
      <c r="U2122" s="5"/>
      <c r="W2122" s="5"/>
    </row>
    <row r="2123" spans="3:23" x14ac:dyDescent="0.2">
      <c r="C2123" s="5"/>
      <c r="I2123" s="5"/>
      <c r="L2123" s="5"/>
      <c r="M2123" s="5"/>
      <c r="N2123" s="5"/>
      <c r="P2123" s="5"/>
      <c r="Q2123" s="5"/>
      <c r="R2123" s="5"/>
      <c r="S2123" s="5"/>
      <c r="U2123" s="5"/>
      <c r="W2123" s="5"/>
    </row>
    <row r="2124" spans="3:23" x14ac:dyDescent="0.2">
      <c r="C2124" s="5"/>
      <c r="I2124" s="5"/>
      <c r="L2124" s="5"/>
      <c r="M2124" s="5"/>
      <c r="N2124" s="5"/>
      <c r="P2124" s="5"/>
      <c r="Q2124" s="5"/>
      <c r="R2124" s="5"/>
      <c r="S2124" s="5"/>
      <c r="U2124" s="5"/>
      <c r="W2124" s="5"/>
    </row>
    <row r="2125" spans="3:23" x14ac:dyDescent="0.2">
      <c r="C2125" s="5"/>
      <c r="I2125" s="5"/>
      <c r="L2125" s="5"/>
      <c r="M2125" s="5"/>
      <c r="N2125" s="5"/>
      <c r="P2125" s="5"/>
      <c r="Q2125" s="5"/>
      <c r="R2125" s="5"/>
      <c r="S2125" s="5"/>
      <c r="U2125" s="5"/>
      <c r="W2125" s="5"/>
    </row>
    <row r="2126" spans="3:23" x14ac:dyDescent="0.2">
      <c r="C2126" s="5"/>
      <c r="I2126" s="5"/>
      <c r="L2126" s="5"/>
      <c r="M2126" s="5"/>
      <c r="N2126" s="5"/>
      <c r="P2126" s="5"/>
      <c r="Q2126" s="5"/>
      <c r="R2126" s="5"/>
      <c r="S2126" s="5"/>
      <c r="U2126" s="5"/>
      <c r="W2126" s="5"/>
    </row>
    <row r="2127" spans="3:23" x14ac:dyDescent="0.2">
      <c r="C2127" s="5"/>
      <c r="I2127" s="5"/>
      <c r="L2127" s="5"/>
      <c r="M2127" s="5"/>
      <c r="N2127" s="5"/>
      <c r="P2127" s="5"/>
      <c r="Q2127" s="5"/>
      <c r="R2127" s="5"/>
      <c r="S2127" s="5"/>
      <c r="U2127" s="5"/>
      <c r="W2127" s="5"/>
    </row>
    <row r="2128" spans="3:23" x14ac:dyDescent="0.2">
      <c r="C2128" s="5"/>
      <c r="I2128" s="5"/>
      <c r="L2128" s="5"/>
      <c r="M2128" s="5"/>
      <c r="N2128" s="5"/>
      <c r="P2128" s="5"/>
      <c r="Q2128" s="5"/>
      <c r="R2128" s="5"/>
      <c r="S2128" s="5"/>
      <c r="U2128" s="5"/>
      <c r="W2128" s="5"/>
    </row>
    <row r="2129" spans="3:23" x14ac:dyDescent="0.2">
      <c r="C2129" s="5"/>
      <c r="I2129" s="5"/>
      <c r="L2129" s="5"/>
      <c r="M2129" s="5"/>
      <c r="N2129" s="5"/>
      <c r="P2129" s="5"/>
      <c r="Q2129" s="5"/>
      <c r="R2129" s="5"/>
      <c r="S2129" s="5"/>
      <c r="U2129" s="5"/>
      <c r="W2129" s="5"/>
    </row>
    <row r="2130" spans="3:23" x14ac:dyDescent="0.2">
      <c r="C2130" s="5"/>
      <c r="I2130" s="5"/>
      <c r="L2130" s="5"/>
      <c r="M2130" s="5"/>
      <c r="N2130" s="5"/>
      <c r="P2130" s="5"/>
      <c r="Q2130" s="5"/>
      <c r="R2130" s="5"/>
      <c r="S2130" s="5"/>
      <c r="U2130" s="5"/>
      <c r="W2130" s="5"/>
    </row>
    <row r="2131" spans="3:23" x14ac:dyDescent="0.2">
      <c r="C2131" s="5"/>
      <c r="I2131" s="5"/>
      <c r="L2131" s="5"/>
      <c r="M2131" s="5"/>
      <c r="N2131" s="5"/>
      <c r="P2131" s="5"/>
      <c r="Q2131" s="5"/>
      <c r="R2131" s="5"/>
      <c r="S2131" s="5"/>
      <c r="U2131" s="5"/>
      <c r="W2131" s="5"/>
    </row>
    <row r="2132" spans="3:23" x14ac:dyDescent="0.2">
      <c r="C2132" s="5"/>
      <c r="I2132" s="5"/>
      <c r="L2132" s="5"/>
      <c r="M2132" s="5"/>
      <c r="N2132" s="5"/>
      <c r="P2132" s="5"/>
      <c r="Q2132" s="5"/>
      <c r="R2132" s="5"/>
      <c r="S2132" s="5"/>
      <c r="U2132" s="5"/>
      <c r="W2132" s="5"/>
    </row>
    <row r="2133" spans="3:23" x14ac:dyDescent="0.2">
      <c r="C2133" s="5"/>
      <c r="I2133" s="5"/>
      <c r="L2133" s="5"/>
      <c r="M2133" s="5"/>
      <c r="N2133" s="5"/>
      <c r="P2133" s="5"/>
      <c r="Q2133" s="5"/>
      <c r="R2133" s="5"/>
      <c r="S2133" s="5"/>
      <c r="U2133" s="5"/>
      <c r="W2133" s="5"/>
    </row>
    <row r="2134" spans="3:23" x14ac:dyDescent="0.2">
      <c r="C2134" s="5"/>
      <c r="I2134" s="5"/>
      <c r="L2134" s="5"/>
      <c r="M2134" s="5"/>
      <c r="N2134" s="5"/>
      <c r="P2134" s="5"/>
      <c r="Q2134" s="5"/>
      <c r="R2134" s="5"/>
      <c r="S2134" s="5"/>
      <c r="U2134" s="5"/>
      <c r="W2134" s="5"/>
    </row>
    <row r="2135" spans="3:23" x14ac:dyDescent="0.2">
      <c r="C2135" s="5"/>
      <c r="I2135" s="5"/>
      <c r="L2135" s="5"/>
      <c r="M2135" s="5"/>
      <c r="N2135" s="5"/>
      <c r="P2135" s="5"/>
      <c r="Q2135" s="5"/>
      <c r="R2135" s="5"/>
      <c r="S2135" s="5"/>
      <c r="U2135" s="5"/>
      <c r="W2135" s="5"/>
    </row>
    <row r="2136" spans="3:23" x14ac:dyDescent="0.2">
      <c r="C2136" s="5"/>
      <c r="I2136" s="5"/>
      <c r="L2136" s="5"/>
      <c r="M2136" s="5"/>
      <c r="N2136" s="5"/>
      <c r="P2136" s="5"/>
      <c r="Q2136" s="5"/>
      <c r="R2136" s="5"/>
      <c r="S2136" s="5"/>
      <c r="U2136" s="5"/>
      <c r="W2136" s="5"/>
    </row>
    <row r="2137" spans="3:23" x14ac:dyDescent="0.2">
      <c r="C2137" s="5"/>
      <c r="I2137" s="5"/>
      <c r="L2137" s="5"/>
      <c r="M2137" s="5"/>
      <c r="N2137" s="5"/>
      <c r="P2137" s="5"/>
      <c r="Q2137" s="5"/>
      <c r="R2137" s="5"/>
      <c r="S2137" s="5"/>
      <c r="U2137" s="5"/>
      <c r="W2137" s="5"/>
    </row>
    <row r="2138" spans="3:23" x14ac:dyDescent="0.2">
      <c r="C2138" s="5"/>
      <c r="I2138" s="5"/>
      <c r="L2138" s="5"/>
      <c r="M2138" s="5"/>
      <c r="N2138" s="5"/>
      <c r="P2138" s="5"/>
      <c r="Q2138" s="5"/>
      <c r="R2138" s="5"/>
      <c r="S2138" s="5"/>
      <c r="U2138" s="5"/>
      <c r="W2138" s="5"/>
    </row>
    <row r="2139" spans="3:23" x14ac:dyDescent="0.2">
      <c r="C2139" s="5"/>
      <c r="I2139" s="5"/>
      <c r="L2139" s="5"/>
      <c r="M2139" s="5"/>
      <c r="N2139" s="5"/>
      <c r="P2139" s="5"/>
      <c r="Q2139" s="5"/>
      <c r="R2139" s="5"/>
      <c r="S2139" s="5"/>
      <c r="U2139" s="5"/>
      <c r="W2139" s="5"/>
    </row>
    <row r="2140" spans="3:23" x14ac:dyDescent="0.2">
      <c r="C2140" s="5"/>
      <c r="I2140" s="5"/>
      <c r="L2140" s="5"/>
      <c r="M2140" s="5"/>
      <c r="N2140" s="5"/>
      <c r="P2140" s="5"/>
      <c r="Q2140" s="5"/>
      <c r="R2140" s="5"/>
      <c r="S2140" s="5"/>
      <c r="U2140" s="5"/>
      <c r="W2140" s="5"/>
    </row>
    <row r="2141" spans="3:23" x14ac:dyDescent="0.2">
      <c r="C2141" s="5"/>
      <c r="I2141" s="5"/>
      <c r="L2141" s="5"/>
      <c r="M2141" s="5"/>
      <c r="N2141" s="5"/>
      <c r="P2141" s="5"/>
      <c r="Q2141" s="5"/>
      <c r="R2141" s="5"/>
      <c r="S2141" s="5"/>
      <c r="U2141" s="5"/>
      <c r="W2141" s="5"/>
    </row>
    <row r="2142" spans="3:23" x14ac:dyDescent="0.2">
      <c r="C2142" s="5"/>
      <c r="I2142" s="5"/>
      <c r="L2142" s="5"/>
      <c r="M2142" s="5"/>
      <c r="N2142" s="5"/>
      <c r="P2142" s="5"/>
      <c r="Q2142" s="5"/>
      <c r="R2142" s="5"/>
      <c r="S2142" s="5"/>
      <c r="U2142" s="5"/>
      <c r="W2142" s="5"/>
    </row>
    <row r="2143" spans="3:23" x14ac:dyDescent="0.2">
      <c r="C2143" s="5"/>
      <c r="I2143" s="5"/>
      <c r="L2143" s="5"/>
      <c r="M2143" s="5"/>
      <c r="N2143" s="5"/>
      <c r="P2143" s="5"/>
      <c r="Q2143" s="5"/>
      <c r="R2143" s="5"/>
      <c r="S2143" s="5"/>
      <c r="U2143" s="5"/>
      <c r="W2143" s="5"/>
    </row>
    <row r="2144" spans="3:23" x14ac:dyDescent="0.2">
      <c r="C2144" s="5"/>
      <c r="I2144" s="5"/>
      <c r="L2144" s="5"/>
      <c r="M2144" s="5"/>
      <c r="N2144" s="5"/>
      <c r="P2144" s="5"/>
      <c r="Q2144" s="5"/>
      <c r="R2144" s="5"/>
      <c r="S2144" s="5"/>
      <c r="U2144" s="5"/>
      <c r="W2144" s="5"/>
    </row>
    <row r="2145" spans="3:23" x14ac:dyDescent="0.2">
      <c r="C2145" s="5"/>
      <c r="I2145" s="5"/>
      <c r="L2145" s="5"/>
      <c r="M2145" s="5"/>
      <c r="N2145" s="5"/>
      <c r="P2145" s="5"/>
      <c r="Q2145" s="5"/>
      <c r="R2145" s="5"/>
      <c r="S2145" s="5"/>
      <c r="U2145" s="5"/>
      <c r="W2145" s="5"/>
    </row>
    <row r="2146" spans="3:23" x14ac:dyDescent="0.2">
      <c r="C2146" s="5"/>
      <c r="I2146" s="5"/>
      <c r="L2146" s="5"/>
      <c r="M2146" s="5"/>
      <c r="N2146" s="5"/>
      <c r="P2146" s="5"/>
      <c r="Q2146" s="5"/>
      <c r="R2146" s="5"/>
      <c r="S2146" s="5"/>
      <c r="U2146" s="5"/>
      <c r="W2146" s="5"/>
    </row>
    <row r="2147" spans="3:23" x14ac:dyDescent="0.2">
      <c r="C2147" s="5"/>
      <c r="I2147" s="5"/>
      <c r="L2147" s="5"/>
      <c r="M2147" s="5"/>
      <c r="N2147" s="5"/>
      <c r="P2147" s="5"/>
      <c r="Q2147" s="5"/>
      <c r="R2147" s="5"/>
      <c r="S2147" s="5"/>
      <c r="U2147" s="5"/>
      <c r="W2147" s="5"/>
    </row>
    <row r="2148" spans="3:23" x14ac:dyDescent="0.2">
      <c r="C2148" s="5"/>
      <c r="I2148" s="5"/>
      <c r="L2148" s="5"/>
      <c r="M2148" s="5"/>
      <c r="N2148" s="5"/>
      <c r="P2148" s="5"/>
      <c r="Q2148" s="5"/>
      <c r="R2148" s="5"/>
      <c r="S2148" s="5"/>
      <c r="U2148" s="5"/>
      <c r="W2148" s="5"/>
    </row>
    <row r="2149" spans="3:23" x14ac:dyDescent="0.2">
      <c r="C2149" s="5"/>
      <c r="I2149" s="5"/>
      <c r="L2149" s="5"/>
      <c r="M2149" s="5"/>
      <c r="N2149" s="5"/>
      <c r="P2149" s="5"/>
      <c r="Q2149" s="5"/>
      <c r="R2149" s="5"/>
      <c r="S2149" s="5"/>
      <c r="U2149" s="5"/>
      <c r="W2149" s="5"/>
    </row>
    <row r="2150" spans="3:23" x14ac:dyDescent="0.2">
      <c r="C2150" s="5"/>
      <c r="I2150" s="5"/>
      <c r="L2150" s="5"/>
      <c r="M2150" s="5"/>
      <c r="N2150" s="5"/>
      <c r="P2150" s="5"/>
      <c r="Q2150" s="5"/>
      <c r="R2150" s="5"/>
      <c r="S2150" s="5"/>
      <c r="U2150" s="5"/>
      <c r="W2150" s="5"/>
    </row>
    <row r="2151" spans="3:23" x14ac:dyDescent="0.2">
      <c r="C2151" s="5"/>
      <c r="I2151" s="5"/>
      <c r="L2151" s="5"/>
      <c r="M2151" s="5"/>
      <c r="N2151" s="5"/>
      <c r="P2151" s="5"/>
      <c r="Q2151" s="5"/>
      <c r="R2151" s="5"/>
      <c r="S2151" s="5"/>
      <c r="U2151" s="5"/>
      <c r="W2151" s="5"/>
    </row>
    <row r="2152" spans="3:23" x14ac:dyDescent="0.2">
      <c r="C2152" s="5"/>
      <c r="I2152" s="5"/>
      <c r="L2152" s="5"/>
      <c r="M2152" s="5"/>
      <c r="N2152" s="5"/>
      <c r="P2152" s="5"/>
      <c r="Q2152" s="5"/>
      <c r="R2152" s="5"/>
      <c r="S2152" s="5"/>
      <c r="U2152" s="5"/>
      <c r="W2152" s="5"/>
    </row>
    <row r="2153" spans="3:23" x14ac:dyDescent="0.2">
      <c r="C2153" s="5"/>
      <c r="I2153" s="5"/>
      <c r="L2153" s="5"/>
      <c r="M2153" s="5"/>
      <c r="N2153" s="5"/>
      <c r="P2153" s="5"/>
      <c r="Q2153" s="5"/>
      <c r="R2153" s="5"/>
      <c r="S2153" s="5"/>
      <c r="U2153" s="5"/>
      <c r="W2153" s="5"/>
    </row>
    <row r="2154" spans="3:23" x14ac:dyDescent="0.2">
      <c r="C2154" s="5"/>
      <c r="I2154" s="5"/>
      <c r="L2154" s="5"/>
      <c r="M2154" s="5"/>
      <c r="N2154" s="5"/>
      <c r="P2154" s="5"/>
      <c r="Q2154" s="5"/>
      <c r="R2154" s="5"/>
      <c r="S2154" s="5"/>
      <c r="U2154" s="5"/>
      <c r="W2154" s="5"/>
    </row>
    <row r="2155" spans="3:23" x14ac:dyDescent="0.2">
      <c r="C2155" s="5"/>
      <c r="I2155" s="5"/>
      <c r="L2155" s="5"/>
      <c r="M2155" s="5"/>
      <c r="N2155" s="5"/>
      <c r="P2155" s="5"/>
      <c r="Q2155" s="5"/>
      <c r="R2155" s="5"/>
      <c r="S2155" s="5"/>
      <c r="U2155" s="5"/>
      <c r="W2155" s="5"/>
    </row>
    <row r="2156" spans="3:23" x14ac:dyDescent="0.2">
      <c r="C2156" s="5"/>
      <c r="I2156" s="5"/>
      <c r="L2156" s="5"/>
      <c r="M2156" s="5"/>
      <c r="N2156" s="5"/>
      <c r="P2156" s="5"/>
      <c r="Q2156" s="5"/>
      <c r="R2156" s="5"/>
      <c r="S2156" s="5"/>
      <c r="U2156" s="5"/>
      <c r="W2156" s="5"/>
    </row>
    <row r="2157" spans="3:23" x14ac:dyDescent="0.2">
      <c r="C2157" s="5"/>
      <c r="I2157" s="5"/>
      <c r="L2157" s="5"/>
      <c r="M2157" s="5"/>
      <c r="N2157" s="5"/>
      <c r="P2157" s="5"/>
      <c r="Q2157" s="5"/>
      <c r="R2157" s="5"/>
      <c r="S2157" s="5"/>
      <c r="U2157" s="5"/>
      <c r="W2157" s="5"/>
    </row>
    <row r="2158" spans="3:23" x14ac:dyDescent="0.2">
      <c r="C2158" s="5"/>
      <c r="I2158" s="5"/>
      <c r="L2158" s="5"/>
      <c r="M2158" s="5"/>
      <c r="N2158" s="5"/>
      <c r="P2158" s="5"/>
      <c r="Q2158" s="5"/>
      <c r="R2158" s="5"/>
      <c r="S2158" s="5"/>
      <c r="U2158" s="5"/>
      <c r="W2158" s="5"/>
    </row>
    <row r="2159" spans="3:23" x14ac:dyDescent="0.2">
      <c r="C2159" s="5"/>
      <c r="I2159" s="5"/>
      <c r="L2159" s="5"/>
      <c r="M2159" s="5"/>
      <c r="N2159" s="5"/>
      <c r="P2159" s="5"/>
      <c r="Q2159" s="5"/>
      <c r="R2159" s="5"/>
      <c r="S2159" s="5"/>
      <c r="U2159" s="5"/>
      <c r="W2159" s="5"/>
    </row>
    <row r="2160" spans="3:23" x14ac:dyDescent="0.2">
      <c r="C2160" s="5"/>
      <c r="I2160" s="5"/>
      <c r="L2160" s="5"/>
      <c r="M2160" s="5"/>
      <c r="N2160" s="5"/>
      <c r="P2160" s="5"/>
      <c r="Q2160" s="5"/>
      <c r="R2160" s="5"/>
      <c r="S2160" s="5"/>
      <c r="U2160" s="5"/>
      <c r="W2160" s="5"/>
    </row>
    <row r="2161" spans="3:23" x14ac:dyDescent="0.2">
      <c r="C2161" s="5"/>
      <c r="I2161" s="5"/>
      <c r="L2161" s="5"/>
      <c r="M2161" s="5"/>
      <c r="N2161" s="5"/>
      <c r="P2161" s="5"/>
      <c r="Q2161" s="5"/>
      <c r="R2161" s="5"/>
      <c r="S2161" s="5"/>
      <c r="U2161" s="5"/>
      <c r="W2161" s="5"/>
    </row>
    <row r="2162" spans="3:23" x14ac:dyDescent="0.2">
      <c r="C2162" s="5"/>
      <c r="I2162" s="5"/>
      <c r="L2162" s="5"/>
      <c r="M2162" s="5"/>
      <c r="N2162" s="5"/>
      <c r="P2162" s="5"/>
      <c r="Q2162" s="5"/>
      <c r="R2162" s="5"/>
      <c r="S2162" s="5"/>
      <c r="U2162" s="5"/>
      <c r="W2162" s="5"/>
    </row>
    <row r="2163" spans="3:23" x14ac:dyDescent="0.2">
      <c r="C2163" s="5"/>
      <c r="I2163" s="5"/>
      <c r="L2163" s="5"/>
      <c r="M2163" s="5"/>
      <c r="N2163" s="5"/>
      <c r="P2163" s="5"/>
      <c r="Q2163" s="5"/>
      <c r="R2163" s="5"/>
      <c r="S2163" s="5"/>
      <c r="U2163" s="5"/>
      <c r="W2163" s="5"/>
    </row>
    <row r="2164" spans="3:23" x14ac:dyDescent="0.2">
      <c r="C2164" s="5"/>
      <c r="I2164" s="5"/>
      <c r="L2164" s="5"/>
      <c r="M2164" s="5"/>
      <c r="N2164" s="5"/>
      <c r="P2164" s="5"/>
      <c r="Q2164" s="5"/>
      <c r="R2164" s="5"/>
      <c r="S2164" s="5"/>
      <c r="U2164" s="5"/>
      <c r="W2164" s="5"/>
    </row>
    <row r="2165" spans="3:23" x14ac:dyDescent="0.2">
      <c r="C2165" s="5"/>
      <c r="I2165" s="5"/>
      <c r="L2165" s="5"/>
      <c r="M2165" s="5"/>
      <c r="N2165" s="5"/>
      <c r="P2165" s="5"/>
      <c r="Q2165" s="5"/>
      <c r="R2165" s="5"/>
      <c r="S2165" s="5"/>
      <c r="U2165" s="5"/>
      <c r="W2165" s="5"/>
    </row>
    <row r="2166" spans="3:23" x14ac:dyDescent="0.2">
      <c r="C2166" s="5"/>
      <c r="I2166" s="5"/>
      <c r="L2166" s="5"/>
      <c r="M2166" s="5"/>
      <c r="N2166" s="5"/>
      <c r="P2166" s="5"/>
      <c r="Q2166" s="5"/>
      <c r="R2166" s="5"/>
      <c r="S2166" s="5"/>
      <c r="U2166" s="5"/>
      <c r="W2166" s="5"/>
    </row>
    <row r="2167" spans="3:23" x14ac:dyDescent="0.2">
      <c r="C2167" s="5"/>
      <c r="I2167" s="5"/>
      <c r="L2167" s="5"/>
      <c r="M2167" s="5"/>
      <c r="N2167" s="5"/>
      <c r="P2167" s="5"/>
      <c r="Q2167" s="5"/>
      <c r="R2167" s="5"/>
      <c r="S2167" s="5"/>
      <c r="U2167" s="5"/>
      <c r="W2167" s="5"/>
    </row>
    <row r="2168" spans="3:23" x14ac:dyDescent="0.2">
      <c r="C2168" s="5"/>
      <c r="I2168" s="5"/>
      <c r="L2168" s="5"/>
      <c r="M2168" s="5"/>
      <c r="N2168" s="5"/>
      <c r="P2168" s="5"/>
      <c r="Q2168" s="5"/>
      <c r="R2168" s="5"/>
      <c r="S2168" s="5"/>
      <c r="U2168" s="5"/>
      <c r="W2168" s="5"/>
    </row>
    <row r="2169" spans="3:23" x14ac:dyDescent="0.2">
      <c r="C2169" s="5"/>
      <c r="I2169" s="5"/>
      <c r="L2169" s="5"/>
      <c r="M2169" s="5"/>
      <c r="N2169" s="5"/>
      <c r="P2169" s="5"/>
      <c r="Q2169" s="5"/>
      <c r="R2169" s="5"/>
      <c r="S2169" s="5"/>
      <c r="U2169" s="5"/>
      <c r="W2169" s="5"/>
    </row>
    <row r="2170" spans="3:23" x14ac:dyDescent="0.2">
      <c r="C2170" s="5"/>
      <c r="I2170" s="5"/>
      <c r="L2170" s="5"/>
      <c r="M2170" s="5"/>
      <c r="N2170" s="5"/>
      <c r="P2170" s="5"/>
      <c r="Q2170" s="5"/>
      <c r="R2170" s="5"/>
      <c r="S2170" s="5"/>
      <c r="U2170" s="5"/>
      <c r="W2170" s="5"/>
    </row>
    <row r="2171" spans="3:23" x14ac:dyDescent="0.2">
      <c r="C2171" s="5"/>
      <c r="I2171" s="5"/>
      <c r="L2171" s="5"/>
      <c r="M2171" s="5"/>
      <c r="N2171" s="5"/>
      <c r="P2171" s="5"/>
      <c r="Q2171" s="5"/>
      <c r="R2171" s="5"/>
      <c r="S2171" s="5"/>
      <c r="U2171" s="5"/>
      <c r="W2171" s="5"/>
    </row>
    <row r="2172" spans="3:23" x14ac:dyDescent="0.2">
      <c r="C2172" s="5"/>
      <c r="I2172" s="5"/>
      <c r="L2172" s="5"/>
      <c r="M2172" s="5"/>
      <c r="N2172" s="5"/>
      <c r="P2172" s="5"/>
      <c r="Q2172" s="5"/>
      <c r="R2172" s="5"/>
      <c r="S2172" s="5"/>
      <c r="U2172" s="5"/>
      <c r="W2172" s="5"/>
    </row>
    <row r="2173" spans="3:23" x14ac:dyDescent="0.2">
      <c r="C2173" s="5"/>
      <c r="I2173" s="5"/>
      <c r="L2173" s="5"/>
      <c r="M2173" s="5"/>
      <c r="N2173" s="5"/>
      <c r="P2173" s="5"/>
      <c r="Q2173" s="5"/>
      <c r="R2173" s="5"/>
      <c r="S2173" s="5"/>
      <c r="U2173" s="5"/>
      <c r="W2173" s="5"/>
    </row>
    <row r="2174" spans="3:23" x14ac:dyDescent="0.2">
      <c r="C2174" s="5"/>
      <c r="I2174" s="5"/>
      <c r="L2174" s="5"/>
      <c r="M2174" s="5"/>
      <c r="N2174" s="5"/>
      <c r="P2174" s="5"/>
      <c r="Q2174" s="5"/>
      <c r="R2174" s="5"/>
      <c r="S2174" s="5"/>
      <c r="U2174" s="5"/>
      <c r="W2174" s="5"/>
    </row>
    <row r="2175" spans="3:23" x14ac:dyDescent="0.2">
      <c r="C2175" s="5"/>
      <c r="I2175" s="5"/>
      <c r="L2175" s="5"/>
      <c r="M2175" s="5"/>
      <c r="N2175" s="5"/>
      <c r="P2175" s="5"/>
      <c r="Q2175" s="5"/>
      <c r="R2175" s="5"/>
      <c r="S2175" s="5"/>
      <c r="U2175" s="5"/>
      <c r="W2175" s="5"/>
    </row>
    <row r="2176" spans="3:23" x14ac:dyDescent="0.2">
      <c r="C2176" s="5"/>
      <c r="I2176" s="5"/>
      <c r="L2176" s="5"/>
      <c r="M2176" s="5"/>
      <c r="N2176" s="5"/>
      <c r="P2176" s="5"/>
      <c r="Q2176" s="5"/>
      <c r="R2176" s="5"/>
      <c r="S2176" s="5"/>
      <c r="U2176" s="5"/>
      <c r="W2176" s="5"/>
    </row>
    <row r="2177" spans="3:23" x14ac:dyDescent="0.2">
      <c r="C2177" s="5"/>
      <c r="I2177" s="5"/>
      <c r="L2177" s="5"/>
      <c r="M2177" s="5"/>
      <c r="N2177" s="5"/>
      <c r="P2177" s="5"/>
      <c r="Q2177" s="5"/>
      <c r="R2177" s="5"/>
      <c r="S2177" s="5"/>
      <c r="U2177" s="5"/>
      <c r="W2177" s="5"/>
    </row>
    <row r="2178" spans="3:23" x14ac:dyDescent="0.2">
      <c r="C2178" s="5"/>
      <c r="I2178" s="5"/>
      <c r="L2178" s="5"/>
      <c r="M2178" s="5"/>
      <c r="N2178" s="5"/>
      <c r="P2178" s="5"/>
      <c r="Q2178" s="5"/>
      <c r="R2178" s="5"/>
      <c r="S2178" s="5"/>
      <c r="U2178" s="5"/>
      <c r="W2178" s="5"/>
    </row>
    <row r="2179" spans="3:23" x14ac:dyDescent="0.2">
      <c r="C2179" s="5"/>
      <c r="I2179" s="5"/>
      <c r="L2179" s="5"/>
      <c r="M2179" s="5"/>
      <c r="N2179" s="5"/>
      <c r="P2179" s="5"/>
      <c r="Q2179" s="5"/>
      <c r="R2179" s="5"/>
      <c r="S2179" s="5"/>
      <c r="U2179" s="5"/>
      <c r="W2179" s="5"/>
    </row>
    <row r="2180" spans="3:23" x14ac:dyDescent="0.2">
      <c r="C2180" s="5"/>
      <c r="I2180" s="5"/>
      <c r="L2180" s="5"/>
      <c r="M2180" s="5"/>
      <c r="N2180" s="5"/>
      <c r="P2180" s="5"/>
      <c r="Q2180" s="5"/>
      <c r="R2180" s="5"/>
      <c r="S2180" s="5"/>
      <c r="U2180" s="5"/>
      <c r="W2180" s="5"/>
    </row>
    <row r="2181" spans="3:23" x14ac:dyDescent="0.2">
      <c r="C2181" s="5"/>
      <c r="I2181" s="5"/>
      <c r="L2181" s="5"/>
      <c r="M2181" s="5"/>
      <c r="N2181" s="5"/>
      <c r="P2181" s="5"/>
      <c r="Q2181" s="5"/>
      <c r="R2181" s="5"/>
      <c r="S2181" s="5"/>
      <c r="U2181" s="5"/>
      <c r="W2181" s="5"/>
    </row>
    <row r="2182" spans="3:23" x14ac:dyDescent="0.2">
      <c r="C2182" s="5"/>
      <c r="I2182" s="5"/>
      <c r="L2182" s="5"/>
      <c r="M2182" s="5"/>
      <c r="N2182" s="5"/>
      <c r="P2182" s="5"/>
      <c r="Q2182" s="5"/>
      <c r="R2182" s="5"/>
      <c r="S2182" s="5"/>
      <c r="U2182" s="5"/>
      <c r="W2182" s="5"/>
    </row>
    <row r="2183" spans="3:23" x14ac:dyDescent="0.2">
      <c r="C2183" s="5"/>
      <c r="I2183" s="5"/>
      <c r="L2183" s="5"/>
      <c r="M2183" s="5"/>
      <c r="N2183" s="5"/>
      <c r="P2183" s="5"/>
      <c r="Q2183" s="5"/>
      <c r="R2183" s="5"/>
      <c r="S2183" s="5"/>
      <c r="U2183" s="5"/>
      <c r="W2183" s="5"/>
    </row>
    <row r="2184" spans="3:23" x14ac:dyDescent="0.2">
      <c r="C2184" s="5"/>
      <c r="I2184" s="5"/>
      <c r="L2184" s="5"/>
      <c r="M2184" s="5"/>
      <c r="N2184" s="5"/>
      <c r="P2184" s="5"/>
      <c r="Q2184" s="5"/>
      <c r="R2184" s="5"/>
      <c r="S2184" s="5"/>
      <c r="U2184" s="5"/>
      <c r="W2184" s="5"/>
    </row>
    <row r="2185" spans="3:23" x14ac:dyDescent="0.2">
      <c r="C2185" s="5"/>
      <c r="I2185" s="5"/>
      <c r="L2185" s="5"/>
      <c r="M2185" s="5"/>
      <c r="N2185" s="5"/>
      <c r="P2185" s="5"/>
      <c r="Q2185" s="5"/>
      <c r="R2185" s="5"/>
      <c r="S2185" s="5"/>
      <c r="U2185" s="5"/>
      <c r="W2185" s="5"/>
    </row>
    <row r="2186" spans="3:23" x14ac:dyDescent="0.2">
      <c r="C2186" s="5"/>
      <c r="I2186" s="5"/>
      <c r="L2186" s="5"/>
      <c r="M2186" s="5"/>
      <c r="N2186" s="5"/>
      <c r="P2186" s="5"/>
      <c r="Q2186" s="5"/>
      <c r="R2186" s="5"/>
      <c r="S2186" s="5"/>
      <c r="U2186" s="5"/>
      <c r="W2186" s="5"/>
    </row>
    <row r="2187" spans="3:23" x14ac:dyDescent="0.2">
      <c r="C2187" s="5"/>
      <c r="I2187" s="5"/>
      <c r="L2187" s="5"/>
      <c r="M2187" s="5"/>
      <c r="N2187" s="5"/>
      <c r="P2187" s="5"/>
      <c r="Q2187" s="5"/>
      <c r="R2187" s="5"/>
      <c r="S2187" s="5"/>
      <c r="U2187" s="5"/>
      <c r="W2187" s="5"/>
    </row>
    <row r="2188" spans="3:23" x14ac:dyDescent="0.2">
      <c r="C2188" s="5"/>
      <c r="I2188" s="5"/>
      <c r="L2188" s="5"/>
      <c r="M2188" s="5"/>
      <c r="N2188" s="5"/>
      <c r="P2188" s="5"/>
      <c r="Q2188" s="5"/>
      <c r="R2188" s="5"/>
      <c r="S2188" s="5"/>
      <c r="U2188" s="5"/>
      <c r="W2188" s="5"/>
    </row>
    <row r="2189" spans="3:23" x14ac:dyDescent="0.2">
      <c r="C2189" s="5"/>
      <c r="I2189" s="5"/>
      <c r="L2189" s="5"/>
      <c r="M2189" s="5"/>
      <c r="N2189" s="5"/>
      <c r="P2189" s="5"/>
      <c r="Q2189" s="5"/>
      <c r="R2189" s="5"/>
      <c r="S2189" s="5"/>
      <c r="U2189" s="5"/>
      <c r="W2189" s="5"/>
    </row>
    <row r="2190" spans="3:23" x14ac:dyDescent="0.2">
      <c r="C2190" s="5"/>
      <c r="I2190" s="5"/>
      <c r="L2190" s="5"/>
      <c r="M2190" s="5"/>
      <c r="N2190" s="5"/>
      <c r="P2190" s="5"/>
      <c r="Q2190" s="5"/>
      <c r="R2190" s="5"/>
      <c r="S2190" s="5"/>
      <c r="U2190" s="5"/>
      <c r="W2190" s="5"/>
    </row>
    <row r="2191" spans="3:23" x14ac:dyDescent="0.2">
      <c r="C2191" s="5"/>
      <c r="I2191" s="5"/>
      <c r="L2191" s="5"/>
      <c r="M2191" s="5"/>
      <c r="N2191" s="5"/>
      <c r="P2191" s="5"/>
      <c r="Q2191" s="5"/>
      <c r="R2191" s="5"/>
      <c r="S2191" s="5"/>
      <c r="U2191" s="5"/>
      <c r="W2191" s="5"/>
    </row>
    <row r="2192" spans="3:23" x14ac:dyDescent="0.2">
      <c r="C2192" s="5"/>
      <c r="I2192" s="5"/>
      <c r="L2192" s="5"/>
      <c r="M2192" s="5"/>
      <c r="N2192" s="5"/>
      <c r="P2192" s="5"/>
      <c r="Q2192" s="5"/>
      <c r="R2192" s="5"/>
      <c r="S2192" s="5"/>
      <c r="U2192" s="5"/>
      <c r="W2192" s="5"/>
    </row>
    <row r="2193" spans="3:23" x14ac:dyDescent="0.2">
      <c r="C2193" s="5"/>
      <c r="I2193" s="5"/>
      <c r="L2193" s="5"/>
      <c r="M2193" s="5"/>
      <c r="N2193" s="5"/>
      <c r="P2193" s="5"/>
      <c r="Q2193" s="5"/>
      <c r="R2193" s="5"/>
      <c r="S2193" s="5"/>
      <c r="U2193" s="5"/>
      <c r="W2193" s="5"/>
    </row>
    <row r="2194" spans="3:23" x14ac:dyDescent="0.2">
      <c r="C2194" s="5"/>
      <c r="I2194" s="5"/>
      <c r="L2194" s="5"/>
      <c r="M2194" s="5"/>
      <c r="N2194" s="5"/>
      <c r="P2194" s="5"/>
      <c r="Q2194" s="5"/>
      <c r="R2194" s="5"/>
      <c r="S2194" s="5"/>
      <c r="U2194" s="5"/>
      <c r="W2194" s="5"/>
    </row>
    <row r="2195" spans="3:23" x14ac:dyDescent="0.2">
      <c r="C2195" s="5"/>
      <c r="I2195" s="5"/>
      <c r="L2195" s="5"/>
      <c r="M2195" s="5"/>
      <c r="N2195" s="5"/>
      <c r="P2195" s="5"/>
      <c r="Q2195" s="5"/>
      <c r="R2195" s="5"/>
      <c r="S2195" s="5"/>
      <c r="U2195" s="5"/>
      <c r="W2195" s="5"/>
    </row>
    <row r="2196" spans="3:23" x14ac:dyDescent="0.2">
      <c r="C2196" s="5"/>
      <c r="I2196" s="5"/>
      <c r="L2196" s="5"/>
      <c r="M2196" s="5"/>
      <c r="N2196" s="5"/>
      <c r="P2196" s="5"/>
      <c r="Q2196" s="5"/>
      <c r="R2196" s="5"/>
      <c r="S2196" s="5"/>
      <c r="U2196" s="5"/>
      <c r="W2196" s="5"/>
    </row>
    <row r="2197" spans="3:23" x14ac:dyDescent="0.2">
      <c r="C2197" s="5"/>
      <c r="I2197" s="5"/>
      <c r="L2197" s="5"/>
      <c r="M2197" s="5"/>
      <c r="N2197" s="5"/>
      <c r="P2197" s="5"/>
      <c r="Q2197" s="5"/>
      <c r="R2197" s="5"/>
      <c r="S2197" s="5"/>
      <c r="U2197" s="5"/>
      <c r="W2197" s="5"/>
    </row>
    <row r="2198" spans="3:23" x14ac:dyDescent="0.2">
      <c r="C2198" s="5"/>
      <c r="I2198" s="5"/>
      <c r="L2198" s="5"/>
      <c r="M2198" s="5"/>
      <c r="N2198" s="5"/>
      <c r="P2198" s="5"/>
      <c r="Q2198" s="5"/>
      <c r="R2198" s="5"/>
      <c r="S2198" s="5"/>
      <c r="U2198" s="5"/>
      <c r="W2198" s="5"/>
    </row>
    <row r="2199" spans="3:23" x14ac:dyDescent="0.2">
      <c r="C2199" s="5"/>
      <c r="I2199" s="5"/>
      <c r="L2199" s="5"/>
      <c r="M2199" s="5"/>
      <c r="N2199" s="5"/>
      <c r="P2199" s="5"/>
      <c r="Q2199" s="5"/>
      <c r="R2199" s="5"/>
      <c r="S2199" s="5"/>
      <c r="U2199" s="5"/>
      <c r="W2199" s="5"/>
    </row>
    <row r="2200" spans="3:23" x14ac:dyDescent="0.2">
      <c r="C2200" s="5"/>
      <c r="I2200" s="5"/>
      <c r="L2200" s="5"/>
      <c r="M2200" s="5"/>
      <c r="N2200" s="5"/>
      <c r="P2200" s="5"/>
      <c r="Q2200" s="5"/>
      <c r="R2200" s="5"/>
      <c r="S2200" s="5"/>
      <c r="U2200" s="5"/>
      <c r="W2200" s="5"/>
    </row>
    <row r="2201" spans="3:23" x14ac:dyDescent="0.2">
      <c r="C2201" s="5"/>
      <c r="I2201" s="5"/>
      <c r="L2201" s="5"/>
      <c r="M2201" s="5"/>
      <c r="N2201" s="5"/>
      <c r="P2201" s="5"/>
      <c r="Q2201" s="5"/>
      <c r="R2201" s="5"/>
      <c r="S2201" s="5"/>
      <c r="U2201" s="5"/>
      <c r="W2201" s="5"/>
    </row>
    <row r="2202" spans="3:23" x14ac:dyDescent="0.2">
      <c r="C2202" s="5"/>
      <c r="I2202" s="5"/>
      <c r="L2202" s="5"/>
      <c r="M2202" s="5"/>
      <c r="N2202" s="5"/>
      <c r="P2202" s="5"/>
      <c r="Q2202" s="5"/>
      <c r="R2202" s="5"/>
      <c r="S2202" s="5"/>
      <c r="U2202" s="5"/>
      <c r="W2202" s="5"/>
    </row>
    <row r="2203" spans="3:23" x14ac:dyDescent="0.2">
      <c r="C2203" s="5"/>
      <c r="I2203" s="5"/>
      <c r="L2203" s="5"/>
      <c r="M2203" s="5"/>
      <c r="N2203" s="5"/>
      <c r="P2203" s="5"/>
      <c r="Q2203" s="5"/>
      <c r="R2203" s="5"/>
      <c r="S2203" s="5"/>
      <c r="U2203" s="5"/>
      <c r="W2203" s="5"/>
    </row>
    <row r="2204" spans="3:23" x14ac:dyDescent="0.2">
      <c r="C2204" s="5"/>
      <c r="I2204" s="5"/>
      <c r="L2204" s="5"/>
      <c r="M2204" s="5"/>
      <c r="N2204" s="5"/>
      <c r="P2204" s="5"/>
      <c r="Q2204" s="5"/>
      <c r="R2204" s="5"/>
      <c r="S2204" s="5"/>
      <c r="U2204" s="5"/>
      <c r="W2204" s="5"/>
    </row>
    <row r="2205" spans="3:23" x14ac:dyDescent="0.2">
      <c r="C2205" s="5"/>
      <c r="I2205" s="5"/>
      <c r="L2205" s="5"/>
      <c r="M2205" s="5"/>
      <c r="N2205" s="5"/>
      <c r="P2205" s="5"/>
      <c r="Q2205" s="5"/>
      <c r="R2205" s="5"/>
      <c r="S2205" s="5"/>
      <c r="U2205" s="5"/>
      <c r="W2205" s="5"/>
    </row>
    <row r="2206" spans="3:23" x14ac:dyDescent="0.2">
      <c r="C2206" s="5"/>
      <c r="I2206" s="5"/>
      <c r="L2206" s="5"/>
      <c r="M2206" s="5"/>
      <c r="N2206" s="5"/>
      <c r="P2206" s="5"/>
      <c r="Q2206" s="5"/>
      <c r="R2206" s="5"/>
      <c r="S2206" s="5"/>
      <c r="U2206" s="5"/>
      <c r="W2206" s="5"/>
    </row>
    <row r="2207" spans="3:23" x14ac:dyDescent="0.2">
      <c r="C2207" s="5"/>
      <c r="I2207" s="5"/>
      <c r="L2207" s="5"/>
      <c r="M2207" s="5"/>
      <c r="N2207" s="5"/>
      <c r="P2207" s="5"/>
      <c r="Q2207" s="5"/>
      <c r="R2207" s="5"/>
      <c r="S2207" s="5"/>
      <c r="U2207" s="5"/>
      <c r="W2207" s="5"/>
    </row>
    <row r="2208" spans="3:23" x14ac:dyDescent="0.2">
      <c r="C2208" s="5"/>
      <c r="I2208" s="5"/>
      <c r="L2208" s="5"/>
      <c r="M2208" s="5"/>
      <c r="N2208" s="5"/>
      <c r="P2208" s="5"/>
      <c r="Q2208" s="5"/>
      <c r="R2208" s="5"/>
      <c r="S2208" s="5"/>
      <c r="U2208" s="5"/>
      <c r="W2208" s="5"/>
    </row>
    <row r="2209" spans="3:23" x14ac:dyDescent="0.2">
      <c r="C2209" s="5"/>
      <c r="I2209" s="5"/>
      <c r="L2209" s="5"/>
      <c r="M2209" s="5"/>
      <c r="N2209" s="5"/>
      <c r="P2209" s="5"/>
      <c r="Q2209" s="5"/>
      <c r="R2209" s="5"/>
      <c r="S2209" s="5"/>
      <c r="U2209" s="5"/>
      <c r="W2209" s="5"/>
    </row>
    <row r="2210" spans="3:23" x14ac:dyDescent="0.2">
      <c r="C2210" s="5"/>
      <c r="I2210" s="5"/>
      <c r="L2210" s="5"/>
      <c r="M2210" s="5"/>
      <c r="N2210" s="5"/>
      <c r="P2210" s="5"/>
      <c r="Q2210" s="5"/>
      <c r="R2210" s="5"/>
      <c r="S2210" s="5"/>
      <c r="U2210" s="5"/>
      <c r="W2210" s="5"/>
    </row>
    <row r="2211" spans="3:23" x14ac:dyDescent="0.2">
      <c r="C2211" s="5"/>
      <c r="I2211" s="5"/>
      <c r="L2211" s="5"/>
      <c r="M2211" s="5"/>
      <c r="N2211" s="5"/>
      <c r="P2211" s="5"/>
      <c r="Q2211" s="5"/>
      <c r="R2211" s="5"/>
      <c r="S2211" s="5"/>
      <c r="U2211" s="5"/>
      <c r="W2211" s="5"/>
    </row>
    <row r="2212" spans="3:23" x14ac:dyDescent="0.2">
      <c r="C2212" s="5"/>
      <c r="I2212" s="5"/>
      <c r="L2212" s="5"/>
      <c r="M2212" s="5"/>
      <c r="N2212" s="5"/>
      <c r="P2212" s="5"/>
      <c r="Q2212" s="5"/>
      <c r="R2212" s="5"/>
      <c r="S2212" s="5"/>
      <c r="U2212" s="5"/>
      <c r="W2212" s="5"/>
    </row>
    <row r="2213" spans="3:23" x14ac:dyDescent="0.2">
      <c r="C2213" s="5"/>
      <c r="I2213" s="5"/>
      <c r="L2213" s="5"/>
      <c r="M2213" s="5"/>
      <c r="N2213" s="5"/>
      <c r="P2213" s="5"/>
      <c r="Q2213" s="5"/>
      <c r="R2213" s="5"/>
      <c r="S2213" s="5"/>
      <c r="U2213" s="5"/>
      <c r="W2213" s="5"/>
    </row>
    <row r="2214" spans="3:23" x14ac:dyDescent="0.2">
      <c r="C2214" s="5"/>
      <c r="I2214" s="5"/>
      <c r="L2214" s="5"/>
      <c r="M2214" s="5"/>
      <c r="N2214" s="5"/>
      <c r="P2214" s="5"/>
      <c r="Q2214" s="5"/>
      <c r="R2214" s="5"/>
      <c r="S2214" s="5"/>
      <c r="U2214" s="5"/>
      <c r="W2214" s="5"/>
    </row>
    <row r="2215" spans="3:23" x14ac:dyDescent="0.2">
      <c r="C2215" s="5"/>
      <c r="I2215" s="5"/>
      <c r="L2215" s="5"/>
      <c r="M2215" s="5"/>
      <c r="N2215" s="5"/>
      <c r="P2215" s="5"/>
      <c r="Q2215" s="5"/>
      <c r="R2215" s="5"/>
      <c r="S2215" s="5"/>
      <c r="U2215" s="5"/>
      <c r="W2215" s="5"/>
    </row>
    <row r="2216" spans="3:23" x14ac:dyDescent="0.2">
      <c r="C2216" s="5"/>
      <c r="I2216" s="5"/>
      <c r="L2216" s="5"/>
      <c r="M2216" s="5"/>
      <c r="N2216" s="5"/>
      <c r="P2216" s="5"/>
      <c r="Q2216" s="5"/>
      <c r="R2216" s="5"/>
      <c r="S2216" s="5"/>
      <c r="U2216" s="5"/>
      <c r="W2216" s="5"/>
    </row>
    <row r="2217" spans="3:23" x14ac:dyDescent="0.2">
      <c r="C2217" s="5"/>
      <c r="I2217" s="5"/>
      <c r="L2217" s="5"/>
      <c r="M2217" s="5"/>
      <c r="N2217" s="5"/>
      <c r="P2217" s="5"/>
      <c r="Q2217" s="5"/>
      <c r="R2217" s="5"/>
      <c r="S2217" s="5"/>
      <c r="U2217" s="5"/>
      <c r="W2217" s="5"/>
    </row>
    <row r="2218" spans="3:23" x14ac:dyDescent="0.2">
      <c r="C2218" s="5"/>
      <c r="I2218" s="5"/>
      <c r="L2218" s="5"/>
      <c r="M2218" s="5"/>
      <c r="N2218" s="5"/>
      <c r="P2218" s="5"/>
      <c r="Q2218" s="5"/>
      <c r="R2218" s="5"/>
      <c r="S2218" s="5"/>
      <c r="U2218" s="5"/>
      <c r="W2218" s="5"/>
    </row>
    <row r="2219" spans="3:23" x14ac:dyDescent="0.2">
      <c r="C2219" s="5"/>
      <c r="I2219" s="5"/>
      <c r="L2219" s="5"/>
      <c r="M2219" s="5"/>
      <c r="N2219" s="5"/>
      <c r="P2219" s="5"/>
      <c r="Q2219" s="5"/>
      <c r="R2219" s="5"/>
      <c r="S2219" s="5"/>
      <c r="U2219" s="5"/>
      <c r="W2219" s="5"/>
    </row>
    <row r="2220" spans="3:23" x14ac:dyDescent="0.2">
      <c r="C2220" s="5"/>
      <c r="I2220" s="5"/>
      <c r="L2220" s="5"/>
      <c r="M2220" s="5"/>
      <c r="N2220" s="5"/>
      <c r="P2220" s="5"/>
      <c r="Q2220" s="5"/>
      <c r="R2220" s="5"/>
      <c r="S2220" s="5"/>
      <c r="U2220" s="5"/>
      <c r="W2220" s="5"/>
    </row>
    <row r="2221" spans="3:23" x14ac:dyDescent="0.2">
      <c r="C2221" s="5"/>
      <c r="I2221" s="5"/>
      <c r="L2221" s="5"/>
      <c r="M2221" s="5"/>
      <c r="N2221" s="5"/>
      <c r="P2221" s="5"/>
      <c r="Q2221" s="5"/>
      <c r="R2221" s="5"/>
      <c r="S2221" s="5"/>
      <c r="U2221" s="5"/>
      <c r="W2221" s="5"/>
    </row>
    <row r="2222" spans="3:23" x14ac:dyDescent="0.2">
      <c r="C2222" s="5"/>
      <c r="I2222" s="5"/>
      <c r="L2222" s="5"/>
      <c r="M2222" s="5"/>
      <c r="N2222" s="5"/>
      <c r="P2222" s="5"/>
      <c r="Q2222" s="5"/>
      <c r="R2222" s="5"/>
      <c r="S2222" s="5"/>
      <c r="U2222" s="5"/>
      <c r="W2222" s="5"/>
    </row>
    <row r="2223" spans="3:23" x14ac:dyDescent="0.2">
      <c r="C2223" s="5"/>
      <c r="I2223" s="5"/>
      <c r="L2223" s="5"/>
      <c r="M2223" s="5"/>
      <c r="N2223" s="5"/>
      <c r="P2223" s="5"/>
      <c r="Q2223" s="5"/>
      <c r="R2223" s="5"/>
      <c r="S2223" s="5"/>
      <c r="U2223" s="5"/>
      <c r="W2223" s="5"/>
    </row>
    <row r="2224" spans="3:23" x14ac:dyDescent="0.2">
      <c r="C2224" s="5"/>
      <c r="I2224" s="5"/>
      <c r="L2224" s="5"/>
      <c r="M2224" s="5"/>
      <c r="N2224" s="5"/>
      <c r="P2224" s="5"/>
      <c r="Q2224" s="5"/>
      <c r="R2224" s="5"/>
      <c r="S2224" s="5"/>
      <c r="U2224" s="5"/>
      <c r="W2224" s="5"/>
    </row>
    <row r="2225" spans="3:23" x14ac:dyDescent="0.2">
      <c r="C2225" s="5"/>
      <c r="I2225" s="5"/>
      <c r="L2225" s="5"/>
      <c r="M2225" s="5"/>
      <c r="N2225" s="5"/>
      <c r="P2225" s="5"/>
      <c r="Q2225" s="5"/>
      <c r="R2225" s="5"/>
      <c r="S2225" s="5"/>
      <c r="U2225" s="5"/>
      <c r="W2225" s="5"/>
    </row>
    <row r="2226" spans="3:23" x14ac:dyDescent="0.2">
      <c r="C2226" s="5"/>
      <c r="I2226" s="5"/>
      <c r="L2226" s="5"/>
      <c r="M2226" s="5"/>
      <c r="N2226" s="5"/>
      <c r="P2226" s="5"/>
      <c r="Q2226" s="5"/>
      <c r="R2226" s="5"/>
      <c r="S2226" s="5"/>
      <c r="U2226" s="5"/>
      <c r="W2226" s="5"/>
    </row>
    <row r="2227" spans="3:23" x14ac:dyDescent="0.2">
      <c r="C2227" s="5"/>
      <c r="I2227" s="5"/>
      <c r="L2227" s="5"/>
      <c r="M2227" s="5"/>
      <c r="N2227" s="5"/>
      <c r="P2227" s="5"/>
      <c r="Q2227" s="5"/>
      <c r="R2227" s="5"/>
      <c r="S2227" s="5"/>
      <c r="U2227" s="5"/>
      <c r="W2227" s="5"/>
    </row>
    <row r="2228" spans="3:23" x14ac:dyDescent="0.2">
      <c r="C2228" s="5"/>
      <c r="I2228" s="5"/>
      <c r="L2228" s="5"/>
      <c r="M2228" s="5"/>
      <c r="N2228" s="5"/>
      <c r="P2228" s="5"/>
      <c r="Q2228" s="5"/>
      <c r="R2228" s="5"/>
      <c r="S2228" s="5"/>
      <c r="U2228" s="5"/>
      <c r="W2228" s="5"/>
    </row>
    <row r="2229" spans="3:23" x14ac:dyDescent="0.2">
      <c r="C2229" s="5"/>
      <c r="I2229" s="5"/>
      <c r="L2229" s="5"/>
      <c r="M2229" s="5"/>
      <c r="N2229" s="5"/>
      <c r="P2229" s="5"/>
      <c r="Q2229" s="5"/>
      <c r="R2229" s="5"/>
      <c r="S2229" s="5"/>
      <c r="U2229" s="5"/>
      <c r="W2229" s="5"/>
    </row>
    <row r="2230" spans="3:23" x14ac:dyDescent="0.2">
      <c r="C2230" s="5"/>
      <c r="I2230" s="5"/>
      <c r="L2230" s="5"/>
      <c r="M2230" s="5"/>
      <c r="N2230" s="5"/>
      <c r="P2230" s="5"/>
      <c r="Q2230" s="5"/>
      <c r="R2230" s="5"/>
      <c r="S2230" s="5"/>
      <c r="U2230" s="5"/>
      <c r="W2230" s="5"/>
    </row>
    <row r="2231" spans="3:23" x14ac:dyDescent="0.2">
      <c r="C2231" s="5"/>
      <c r="I2231" s="5"/>
      <c r="L2231" s="5"/>
      <c r="M2231" s="5"/>
      <c r="N2231" s="5"/>
      <c r="P2231" s="5"/>
      <c r="Q2231" s="5"/>
      <c r="R2231" s="5"/>
      <c r="S2231" s="5"/>
      <c r="U2231" s="5"/>
      <c r="W2231" s="5"/>
    </row>
    <row r="2232" spans="3:23" x14ac:dyDescent="0.2">
      <c r="C2232" s="5"/>
      <c r="I2232" s="5"/>
      <c r="L2232" s="5"/>
      <c r="M2232" s="5"/>
      <c r="N2232" s="5"/>
      <c r="P2232" s="5"/>
      <c r="Q2232" s="5"/>
      <c r="R2232" s="5"/>
      <c r="S2232" s="5"/>
      <c r="U2232" s="5"/>
      <c r="W2232" s="5"/>
    </row>
    <row r="2233" spans="3:23" x14ac:dyDescent="0.2">
      <c r="C2233" s="5"/>
      <c r="I2233" s="5"/>
      <c r="L2233" s="5"/>
      <c r="M2233" s="5"/>
      <c r="N2233" s="5"/>
      <c r="P2233" s="5"/>
      <c r="Q2233" s="5"/>
      <c r="R2233" s="5"/>
      <c r="S2233" s="5"/>
      <c r="U2233" s="5"/>
      <c r="W2233" s="5"/>
    </row>
    <row r="2234" spans="3:23" x14ac:dyDescent="0.2">
      <c r="C2234" s="5"/>
      <c r="I2234" s="5"/>
      <c r="L2234" s="5"/>
      <c r="M2234" s="5"/>
      <c r="N2234" s="5"/>
      <c r="P2234" s="5"/>
      <c r="Q2234" s="5"/>
      <c r="R2234" s="5"/>
      <c r="S2234" s="5"/>
      <c r="U2234" s="5"/>
      <c r="W2234" s="5"/>
    </row>
    <row r="2235" spans="3:23" x14ac:dyDescent="0.2">
      <c r="C2235" s="5"/>
      <c r="I2235" s="5"/>
      <c r="L2235" s="5"/>
      <c r="M2235" s="5"/>
      <c r="N2235" s="5"/>
      <c r="P2235" s="5"/>
      <c r="Q2235" s="5"/>
      <c r="R2235" s="5"/>
      <c r="S2235" s="5"/>
      <c r="U2235" s="5"/>
      <c r="W2235" s="5"/>
    </row>
    <row r="2236" spans="3:23" x14ac:dyDescent="0.2">
      <c r="C2236" s="5"/>
      <c r="I2236" s="5"/>
      <c r="L2236" s="5"/>
      <c r="M2236" s="5"/>
      <c r="N2236" s="5"/>
      <c r="P2236" s="5"/>
      <c r="Q2236" s="5"/>
      <c r="R2236" s="5"/>
      <c r="S2236" s="5"/>
      <c r="U2236" s="5"/>
      <c r="W2236" s="5"/>
    </row>
    <row r="2237" spans="3:23" x14ac:dyDescent="0.2">
      <c r="C2237" s="5"/>
      <c r="I2237" s="5"/>
      <c r="L2237" s="5"/>
      <c r="M2237" s="5"/>
      <c r="N2237" s="5"/>
      <c r="P2237" s="5"/>
      <c r="Q2237" s="5"/>
      <c r="R2237" s="5"/>
      <c r="S2237" s="5"/>
      <c r="U2237" s="5"/>
      <c r="W2237" s="5"/>
    </row>
    <row r="2238" spans="3:23" x14ac:dyDescent="0.2">
      <c r="C2238" s="5"/>
      <c r="I2238" s="5"/>
      <c r="L2238" s="5"/>
      <c r="M2238" s="5"/>
      <c r="N2238" s="5"/>
      <c r="P2238" s="5"/>
      <c r="Q2238" s="5"/>
      <c r="R2238" s="5"/>
      <c r="S2238" s="5"/>
      <c r="U2238" s="5"/>
      <c r="W2238" s="5"/>
    </row>
    <row r="2239" spans="3:23" x14ac:dyDescent="0.2">
      <c r="C2239" s="5"/>
      <c r="I2239" s="5"/>
      <c r="L2239" s="5"/>
      <c r="M2239" s="5"/>
      <c r="N2239" s="5"/>
      <c r="P2239" s="5"/>
      <c r="Q2239" s="5"/>
      <c r="R2239" s="5"/>
      <c r="S2239" s="5"/>
      <c r="U2239" s="5"/>
      <c r="W2239" s="5"/>
    </row>
    <row r="2240" spans="3:23" x14ac:dyDescent="0.2">
      <c r="C2240" s="5"/>
      <c r="I2240" s="5"/>
      <c r="L2240" s="5"/>
      <c r="M2240" s="5"/>
      <c r="N2240" s="5"/>
      <c r="P2240" s="5"/>
      <c r="Q2240" s="5"/>
      <c r="R2240" s="5"/>
      <c r="S2240" s="5"/>
      <c r="U2240" s="5"/>
      <c r="W2240" s="5"/>
    </row>
    <row r="2241" spans="3:23" x14ac:dyDescent="0.2">
      <c r="C2241" s="5"/>
      <c r="I2241" s="5"/>
      <c r="L2241" s="5"/>
      <c r="M2241" s="5"/>
      <c r="N2241" s="5"/>
      <c r="P2241" s="5"/>
      <c r="Q2241" s="5"/>
      <c r="R2241" s="5"/>
      <c r="S2241" s="5"/>
      <c r="U2241" s="5"/>
      <c r="W2241" s="5"/>
    </row>
    <row r="2242" spans="3:23" x14ac:dyDescent="0.2">
      <c r="C2242" s="5"/>
      <c r="I2242" s="5"/>
      <c r="L2242" s="5"/>
      <c r="M2242" s="5"/>
      <c r="N2242" s="5"/>
      <c r="P2242" s="5"/>
      <c r="Q2242" s="5"/>
      <c r="R2242" s="5"/>
      <c r="S2242" s="5"/>
      <c r="U2242" s="5"/>
      <c r="W2242" s="5"/>
    </row>
    <row r="2243" spans="3:23" x14ac:dyDescent="0.2">
      <c r="C2243" s="5"/>
      <c r="I2243" s="5"/>
      <c r="L2243" s="5"/>
      <c r="M2243" s="5"/>
      <c r="N2243" s="5"/>
      <c r="P2243" s="5"/>
      <c r="Q2243" s="5"/>
      <c r="R2243" s="5"/>
      <c r="S2243" s="5"/>
      <c r="U2243" s="5"/>
      <c r="W2243" s="5"/>
    </row>
    <row r="2244" spans="3:23" x14ac:dyDescent="0.2">
      <c r="C2244" s="5"/>
      <c r="I2244" s="5"/>
      <c r="L2244" s="5"/>
      <c r="M2244" s="5"/>
      <c r="N2244" s="5"/>
      <c r="P2244" s="5"/>
      <c r="Q2244" s="5"/>
      <c r="R2244" s="5"/>
      <c r="S2244" s="5"/>
      <c r="U2244" s="5"/>
      <c r="W2244" s="5"/>
    </row>
    <row r="2245" spans="3:23" x14ac:dyDescent="0.2">
      <c r="C2245" s="5"/>
      <c r="I2245" s="5"/>
      <c r="L2245" s="5"/>
      <c r="M2245" s="5"/>
      <c r="N2245" s="5"/>
      <c r="P2245" s="5"/>
      <c r="Q2245" s="5"/>
      <c r="R2245" s="5"/>
      <c r="S2245" s="5"/>
      <c r="U2245" s="5"/>
      <c r="W2245" s="5"/>
    </row>
    <row r="2246" spans="3:23" x14ac:dyDescent="0.2">
      <c r="C2246" s="5"/>
      <c r="I2246" s="5"/>
      <c r="L2246" s="5"/>
      <c r="M2246" s="5"/>
      <c r="N2246" s="5"/>
      <c r="P2246" s="5"/>
      <c r="Q2246" s="5"/>
      <c r="R2246" s="5"/>
      <c r="S2246" s="5"/>
      <c r="U2246" s="5"/>
      <c r="W2246" s="5"/>
    </row>
    <row r="2247" spans="3:23" x14ac:dyDescent="0.2">
      <c r="C2247" s="5"/>
      <c r="I2247" s="5"/>
      <c r="L2247" s="5"/>
      <c r="M2247" s="5"/>
      <c r="N2247" s="5"/>
      <c r="P2247" s="5"/>
      <c r="Q2247" s="5"/>
      <c r="R2247" s="5"/>
      <c r="S2247" s="5"/>
      <c r="U2247" s="5"/>
      <c r="W2247" s="5"/>
    </row>
    <row r="2248" spans="3:23" x14ac:dyDescent="0.2">
      <c r="C2248" s="5"/>
      <c r="I2248" s="5"/>
      <c r="L2248" s="5"/>
      <c r="M2248" s="5"/>
      <c r="N2248" s="5"/>
      <c r="P2248" s="5"/>
      <c r="Q2248" s="5"/>
      <c r="R2248" s="5"/>
      <c r="S2248" s="5"/>
      <c r="U2248" s="5"/>
      <c r="W2248" s="5"/>
    </row>
    <row r="2249" spans="3:23" x14ac:dyDescent="0.2">
      <c r="C2249" s="5"/>
      <c r="I2249" s="5"/>
      <c r="L2249" s="5"/>
      <c r="M2249" s="5"/>
      <c r="N2249" s="5"/>
      <c r="P2249" s="5"/>
      <c r="Q2249" s="5"/>
      <c r="R2249" s="5"/>
      <c r="S2249" s="5"/>
      <c r="U2249" s="5"/>
      <c r="W2249" s="5"/>
    </row>
    <row r="2250" spans="3:23" x14ac:dyDescent="0.2">
      <c r="C2250" s="5"/>
      <c r="I2250" s="5"/>
      <c r="L2250" s="5"/>
      <c r="M2250" s="5"/>
      <c r="N2250" s="5"/>
      <c r="P2250" s="5"/>
      <c r="Q2250" s="5"/>
      <c r="R2250" s="5"/>
      <c r="S2250" s="5"/>
      <c r="U2250" s="5"/>
      <c r="W2250" s="5"/>
    </row>
    <row r="2251" spans="3:23" x14ac:dyDescent="0.2">
      <c r="C2251" s="5"/>
      <c r="I2251" s="5"/>
      <c r="L2251" s="5"/>
      <c r="M2251" s="5"/>
      <c r="N2251" s="5"/>
      <c r="P2251" s="5"/>
      <c r="Q2251" s="5"/>
      <c r="R2251" s="5"/>
      <c r="S2251" s="5"/>
      <c r="U2251" s="5"/>
      <c r="W2251" s="5"/>
    </row>
    <row r="2252" spans="3:23" x14ac:dyDescent="0.2">
      <c r="C2252" s="5"/>
      <c r="I2252" s="5"/>
      <c r="L2252" s="5"/>
      <c r="M2252" s="5"/>
      <c r="N2252" s="5"/>
      <c r="P2252" s="5"/>
      <c r="Q2252" s="5"/>
      <c r="R2252" s="5"/>
      <c r="S2252" s="5"/>
      <c r="U2252" s="5"/>
      <c r="W2252" s="5"/>
    </row>
    <row r="2253" spans="3:23" x14ac:dyDescent="0.2">
      <c r="C2253" s="5"/>
      <c r="I2253" s="5"/>
      <c r="L2253" s="5"/>
      <c r="M2253" s="5"/>
      <c r="N2253" s="5"/>
      <c r="P2253" s="5"/>
      <c r="Q2253" s="5"/>
      <c r="R2253" s="5"/>
      <c r="S2253" s="5"/>
      <c r="U2253" s="5"/>
      <c r="W2253" s="5"/>
    </row>
    <row r="2254" spans="3:23" x14ac:dyDescent="0.2">
      <c r="C2254" s="5"/>
      <c r="I2254" s="5"/>
      <c r="L2254" s="5"/>
      <c r="M2254" s="5"/>
      <c r="N2254" s="5"/>
      <c r="P2254" s="5"/>
      <c r="Q2254" s="5"/>
      <c r="R2254" s="5"/>
      <c r="S2254" s="5"/>
      <c r="U2254" s="5"/>
      <c r="W2254" s="5"/>
    </row>
    <row r="2255" spans="3:23" x14ac:dyDescent="0.2">
      <c r="C2255" s="5"/>
      <c r="I2255" s="5"/>
      <c r="L2255" s="5"/>
      <c r="M2255" s="5"/>
      <c r="N2255" s="5"/>
      <c r="P2255" s="5"/>
      <c r="Q2255" s="5"/>
      <c r="R2255" s="5"/>
      <c r="S2255" s="5"/>
      <c r="U2255" s="5"/>
      <c r="W2255" s="5"/>
    </row>
    <row r="2256" spans="3:23" x14ac:dyDescent="0.2">
      <c r="C2256" s="5"/>
      <c r="I2256" s="5"/>
      <c r="L2256" s="5"/>
      <c r="M2256" s="5"/>
      <c r="N2256" s="5"/>
      <c r="P2256" s="5"/>
      <c r="Q2256" s="5"/>
      <c r="R2256" s="5"/>
      <c r="S2256" s="5"/>
      <c r="U2256" s="5"/>
      <c r="W2256" s="5"/>
    </row>
    <row r="2257" spans="3:23" x14ac:dyDescent="0.2">
      <c r="C2257" s="5"/>
      <c r="I2257" s="5"/>
      <c r="L2257" s="5"/>
      <c r="M2257" s="5"/>
      <c r="N2257" s="5"/>
      <c r="P2257" s="5"/>
      <c r="Q2257" s="5"/>
      <c r="R2257" s="5"/>
      <c r="S2257" s="5"/>
      <c r="U2257" s="5"/>
      <c r="W2257" s="5"/>
    </row>
    <row r="2258" spans="3:23" x14ac:dyDescent="0.2">
      <c r="C2258" s="5"/>
      <c r="I2258" s="5"/>
      <c r="L2258" s="5"/>
      <c r="M2258" s="5"/>
      <c r="N2258" s="5"/>
      <c r="P2258" s="5"/>
      <c r="Q2258" s="5"/>
      <c r="R2258" s="5"/>
      <c r="S2258" s="5"/>
      <c r="U2258" s="5"/>
      <c r="W2258" s="5"/>
    </row>
    <row r="2259" spans="3:23" x14ac:dyDescent="0.2">
      <c r="C2259" s="5"/>
      <c r="I2259" s="5"/>
      <c r="L2259" s="5"/>
      <c r="M2259" s="5"/>
      <c r="N2259" s="5"/>
      <c r="P2259" s="5"/>
      <c r="Q2259" s="5"/>
      <c r="R2259" s="5"/>
      <c r="S2259" s="5"/>
      <c r="U2259" s="5"/>
      <c r="W2259" s="5"/>
    </row>
    <row r="2260" spans="3:23" x14ac:dyDescent="0.2">
      <c r="C2260" s="5"/>
      <c r="I2260" s="5"/>
      <c r="L2260" s="5"/>
      <c r="M2260" s="5"/>
      <c r="N2260" s="5"/>
      <c r="P2260" s="5"/>
      <c r="Q2260" s="5"/>
      <c r="R2260" s="5"/>
      <c r="S2260" s="5"/>
      <c r="U2260" s="5"/>
      <c r="W2260" s="5"/>
    </row>
    <row r="2261" spans="3:23" x14ac:dyDescent="0.2">
      <c r="C2261" s="5"/>
      <c r="I2261" s="5"/>
      <c r="L2261" s="5"/>
      <c r="M2261" s="5"/>
      <c r="N2261" s="5"/>
      <c r="P2261" s="5"/>
      <c r="Q2261" s="5"/>
      <c r="R2261" s="5"/>
      <c r="S2261" s="5"/>
      <c r="U2261" s="5"/>
      <c r="W2261" s="5"/>
    </row>
    <row r="2262" spans="3:23" x14ac:dyDescent="0.2">
      <c r="C2262" s="5"/>
      <c r="I2262" s="5"/>
      <c r="L2262" s="5"/>
      <c r="M2262" s="5"/>
      <c r="N2262" s="5"/>
      <c r="P2262" s="5"/>
      <c r="Q2262" s="5"/>
      <c r="R2262" s="5"/>
      <c r="S2262" s="5"/>
      <c r="U2262" s="5"/>
      <c r="W2262" s="5"/>
    </row>
    <row r="2263" spans="3:23" x14ac:dyDescent="0.2">
      <c r="C2263" s="5"/>
      <c r="I2263" s="5"/>
      <c r="L2263" s="5"/>
      <c r="M2263" s="5"/>
      <c r="N2263" s="5"/>
      <c r="P2263" s="5"/>
      <c r="Q2263" s="5"/>
      <c r="R2263" s="5"/>
      <c r="S2263" s="5"/>
      <c r="U2263" s="5"/>
      <c r="W2263" s="5"/>
    </row>
    <row r="2264" spans="3:23" x14ac:dyDescent="0.2">
      <c r="C2264" s="5"/>
      <c r="I2264" s="5"/>
      <c r="L2264" s="5"/>
      <c r="M2264" s="5"/>
      <c r="N2264" s="5"/>
      <c r="P2264" s="5"/>
      <c r="Q2264" s="5"/>
      <c r="R2264" s="5"/>
      <c r="S2264" s="5"/>
      <c r="U2264" s="5"/>
      <c r="W2264" s="5"/>
    </row>
    <row r="2265" spans="3:23" x14ac:dyDescent="0.2">
      <c r="C2265" s="5"/>
      <c r="I2265" s="5"/>
      <c r="L2265" s="5"/>
      <c r="M2265" s="5"/>
      <c r="N2265" s="5"/>
      <c r="P2265" s="5"/>
      <c r="Q2265" s="5"/>
      <c r="R2265" s="5"/>
      <c r="S2265" s="5"/>
      <c r="U2265" s="5"/>
      <c r="W2265" s="5"/>
    </row>
    <row r="2266" spans="3:23" x14ac:dyDescent="0.2">
      <c r="C2266" s="5"/>
      <c r="I2266" s="5"/>
      <c r="L2266" s="5"/>
      <c r="M2266" s="5"/>
      <c r="N2266" s="5"/>
      <c r="P2266" s="5"/>
      <c r="Q2266" s="5"/>
      <c r="R2266" s="5"/>
      <c r="S2266" s="5"/>
      <c r="U2266" s="5"/>
      <c r="W2266" s="5"/>
    </row>
    <row r="2267" spans="3:23" x14ac:dyDescent="0.2">
      <c r="C2267" s="5"/>
      <c r="I2267" s="5"/>
      <c r="L2267" s="5"/>
      <c r="M2267" s="5"/>
      <c r="N2267" s="5"/>
      <c r="P2267" s="5"/>
      <c r="Q2267" s="5"/>
      <c r="R2267" s="5"/>
      <c r="S2267" s="5"/>
      <c r="U2267" s="5"/>
      <c r="W2267" s="5"/>
    </row>
    <row r="2268" spans="3:23" x14ac:dyDescent="0.2">
      <c r="C2268" s="5"/>
      <c r="I2268" s="5"/>
      <c r="L2268" s="5"/>
      <c r="M2268" s="5"/>
      <c r="N2268" s="5"/>
      <c r="P2268" s="5"/>
      <c r="Q2268" s="5"/>
      <c r="R2268" s="5"/>
      <c r="S2268" s="5"/>
      <c r="U2268" s="5"/>
      <c r="W2268" s="5"/>
    </row>
    <row r="2269" spans="3:23" x14ac:dyDescent="0.2">
      <c r="C2269" s="5"/>
      <c r="I2269" s="5"/>
      <c r="L2269" s="5"/>
      <c r="M2269" s="5"/>
      <c r="N2269" s="5"/>
      <c r="P2269" s="5"/>
      <c r="Q2269" s="5"/>
      <c r="R2269" s="5"/>
      <c r="S2269" s="5"/>
      <c r="U2269" s="5"/>
      <c r="W2269" s="5"/>
    </row>
    <row r="2270" spans="3:23" x14ac:dyDescent="0.2">
      <c r="C2270" s="5"/>
      <c r="I2270" s="5"/>
      <c r="L2270" s="5"/>
      <c r="M2270" s="5"/>
      <c r="N2270" s="5"/>
      <c r="P2270" s="5"/>
      <c r="Q2270" s="5"/>
      <c r="R2270" s="5"/>
      <c r="S2270" s="5"/>
      <c r="U2270" s="5"/>
      <c r="W2270" s="5"/>
    </row>
    <row r="2271" spans="3:23" x14ac:dyDescent="0.2">
      <c r="C2271" s="5"/>
      <c r="I2271" s="5"/>
      <c r="L2271" s="5"/>
      <c r="M2271" s="5"/>
      <c r="N2271" s="5"/>
      <c r="P2271" s="5"/>
      <c r="Q2271" s="5"/>
      <c r="R2271" s="5"/>
      <c r="S2271" s="5"/>
      <c r="U2271" s="5"/>
      <c r="W2271" s="5"/>
    </row>
    <row r="2272" spans="3:23" x14ac:dyDescent="0.2">
      <c r="C2272" s="5"/>
      <c r="I2272" s="5"/>
      <c r="L2272" s="5"/>
      <c r="M2272" s="5"/>
      <c r="N2272" s="5"/>
      <c r="P2272" s="5"/>
      <c r="Q2272" s="5"/>
      <c r="R2272" s="5"/>
      <c r="S2272" s="5"/>
      <c r="U2272" s="5"/>
      <c r="W2272" s="5"/>
    </row>
    <row r="2273" spans="3:23" x14ac:dyDescent="0.2">
      <c r="C2273" s="5"/>
      <c r="I2273" s="5"/>
      <c r="L2273" s="5"/>
      <c r="M2273" s="5"/>
      <c r="N2273" s="5"/>
      <c r="P2273" s="5"/>
      <c r="Q2273" s="5"/>
      <c r="R2273" s="5"/>
      <c r="S2273" s="5"/>
      <c r="U2273" s="5"/>
      <c r="W2273" s="5"/>
    </row>
    <row r="2274" spans="3:23" x14ac:dyDescent="0.2">
      <c r="C2274" s="5"/>
      <c r="I2274" s="5"/>
      <c r="L2274" s="5"/>
      <c r="M2274" s="5"/>
      <c r="N2274" s="5"/>
      <c r="P2274" s="5"/>
      <c r="Q2274" s="5"/>
      <c r="R2274" s="5"/>
      <c r="S2274" s="5"/>
      <c r="U2274" s="5"/>
      <c r="W2274" s="5"/>
    </row>
    <row r="2275" spans="3:23" x14ac:dyDescent="0.2">
      <c r="C2275" s="5"/>
      <c r="I2275" s="5"/>
      <c r="L2275" s="5"/>
      <c r="M2275" s="5"/>
      <c r="N2275" s="5"/>
      <c r="P2275" s="5"/>
      <c r="Q2275" s="5"/>
      <c r="R2275" s="5"/>
      <c r="S2275" s="5"/>
      <c r="U2275" s="5"/>
      <c r="W2275" s="5"/>
    </row>
    <row r="2276" spans="3:23" x14ac:dyDescent="0.2">
      <c r="C2276" s="5"/>
      <c r="I2276" s="5"/>
      <c r="L2276" s="5"/>
      <c r="M2276" s="5"/>
      <c r="N2276" s="5"/>
      <c r="P2276" s="5"/>
      <c r="Q2276" s="5"/>
      <c r="R2276" s="5"/>
      <c r="S2276" s="5"/>
      <c r="U2276" s="5"/>
      <c r="W2276" s="5"/>
    </row>
    <row r="2277" spans="3:23" x14ac:dyDescent="0.2">
      <c r="C2277" s="5"/>
      <c r="I2277" s="5"/>
      <c r="L2277" s="5"/>
      <c r="M2277" s="5"/>
      <c r="N2277" s="5"/>
      <c r="P2277" s="5"/>
      <c r="Q2277" s="5"/>
      <c r="R2277" s="5"/>
      <c r="S2277" s="5"/>
      <c r="U2277" s="5"/>
      <c r="W2277" s="5"/>
    </row>
    <row r="2278" spans="3:23" x14ac:dyDescent="0.2">
      <c r="C2278" s="5"/>
      <c r="I2278" s="5"/>
      <c r="L2278" s="5"/>
      <c r="M2278" s="5"/>
      <c r="N2278" s="5"/>
      <c r="P2278" s="5"/>
      <c r="Q2278" s="5"/>
      <c r="R2278" s="5"/>
      <c r="S2278" s="5"/>
      <c r="U2278" s="5"/>
      <c r="W2278" s="5"/>
    </row>
    <row r="2279" spans="3:23" x14ac:dyDescent="0.2">
      <c r="C2279" s="5"/>
      <c r="I2279" s="5"/>
      <c r="L2279" s="5"/>
      <c r="M2279" s="5"/>
      <c r="N2279" s="5"/>
      <c r="P2279" s="5"/>
      <c r="Q2279" s="5"/>
      <c r="R2279" s="5"/>
      <c r="S2279" s="5"/>
      <c r="U2279" s="5"/>
      <c r="W2279" s="5"/>
    </row>
    <row r="2280" spans="3:23" x14ac:dyDescent="0.2">
      <c r="C2280" s="5"/>
      <c r="I2280" s="5"/>
      <c r="L2280" s="5"/>
      <c r="M2280" s="5"/>
      <c r="N2280" s="5"/>
      <c r="P2280" s="5"/>
      <c r="Q2280" s="5"/>
      <c r="R2280" s="5"/>
      <c r="S2280" s="5"/>
      <c r="U2280" s="5"/>
      <c r="W2280" s="5"/>
    </row>
    <row r="2281" spans="3:23" x14ac:dyDescent="0.2">
      <c r="C2281" s="5"/>
      <c r="I2281" s="5"/>
      <c r="L2281" s="5"/>
      <c r="M2281" s="5"/>
      <c r="N2281" s="5"/>
      <c r="P2281" s="5"/>
      <c r="Q2281" s="5"/>
      <c r="R2281" s="5"/>
      <c r="S2281" s="5"/>
      <c r="U2281" s="5"/>
      <c r="W2281" s="5"/>
    </row>
    <row r="2282" spans="3:23" x14ac:dyDescent="0.2">
      <c r="C2282" s="5"/>
      <c r="I2282" s="5"/>
      <c r="L2282" s="5"/>
      <c r="M2282" s="5"/>
      <c r="N2282" s="5"/>
      <c r="P2282" s="5"/>
      <c r="Q2282" s="5"/>
      <c r="R2282" s="5"/>
      <c r="S2282" s="5"/>
      <c r="U2282" s="5"/>
      <c r="W2282" s="5"/>
    </row>
    <row r="2283" spans="3:23" x14ac:dyDescent="0.2">
      <c r="C2283" s="5"/>
      <c r="I2283" s="5"/>
      <c r="L2283" s="5"/>
      <c r="M2283" s="5"/>
      <c r="N2283" s="5"/>
      <c r="P2283" s="5"/>
      <c r="Q2283" s="5"/>
      <c r="R2283" s="5"/>
      <c r="S2283" s="5"/>
      <c r="U2283" s="5"/>
      <c r="W2283" s="5"/>
    </row>
    <row r="2284" spans="3:23" x14ac:dyDescent="0.2">
      <c r="C2284" s="5"/>
      <c r="I2284" s="5"/>
      <c r="L2284" s="5"/>
      <c r="M2284" s="5"/>
      <c r="N2284" s="5"/>
      <c r="P2284" s="5"/>
      <c r="Q2284" s="5"/>
      <c r="R2284" s="5"/>
      <c r="S2284" s="5"/>
      <c r="U2284" s="5"/>
      <c r="W2284" s="5"/>
    </row>
    <row r="2285" spans="3:23" x14ac:dyDescent="0.2">
      <c r="C2285" s="5"/>
      <c r="I2285" s="5"/>
      <c r="L2285" s="5"/>
      <c r="M2285" s="5"/>
      <c r="N2285" s="5"/>
      <c r="P2285" s="5"/>
      <c r="Q2285" s="5"/>
      <c r="R2285" s="5"/>
      <c r="S2285" s="5"/>
      <c r="U2285" s="5"/>
      <c r="W2285" s="5"/>
    </row>
    <row r="2286" spans="3:23" x14ac:dyDescent="0.2">
      <c r="C2286" s="5"/>
      <c r="I2286" s="5"/>
      <c r="L2286" s="5"/>
      <c r="M2286" s="5"/>
      <c r="N2286" s="5"/>
      <c r="P2286" s="5"/>
      <c r="Q2286" s="5"/>
      <c r="R2286" s="5"/>
      <c r="S2286" s="5"/>
      <c r="U2286" s="5"/>
      <c r="W2286" s="5"/>
    </row>
    <row r="2287" spans="3:23" x14ac:dyDescent="0.2">
      <c r="C2287" s="5"/>
      <c r="I2287" s="5"/>
      <c r="L2287" s="5"/>
      <c r="M2287" s="5"/>
      <c r="N2287" s="5"/>
      <c r="P2287" s="5"/>
      <c r="Q2287" s="5"/>
      <c r="R2287" s="5"/>
      <c r="S2287" s="5"/>
      <c r="U2287" s="5"/>
      <c r="W2287" s="5"/>
    </row>
    <row r="2288" spans="3:23" x14ac:dyDescent="0.2">
      <c r="C2288" s="5"/>
      <c r="I2288" s="5"/>
      <c r="L2288" s="5"/>
      <c r="M2288" s="5"/>
      <c r="N2288" s="5"/>
      <c r="P2288" s="5"/>
      <c r="Q2288" s="5"/>
      <c r="R2288" s="5"/>
      <c r="S2288" s="5"/>
      <c r="U2288" s="5"/>
      <c r="W2288" s="5"/>
    </row>
    <row r="2289" spans="3:23" x14ac:dyDescent="0.2">
      <c r="C2289" s="5"/>
      <c r="I2289" s="5"/>
      <c r="L2289" s="5"/>
      <c r="M2289" s="5"/>
      <c r="N2289" s="5"/>
      <c r="P2289" s="5"/>
      <c r="Q2289" s="5"/>
      <c r="R2289" s="5"/>
      <c r="S2289" s="5"/>
      <c r="U2289" s="5"/>
      <c r="W2289" s="5"/>
    </row>
    <row r="2290" spans="3:23" x14ac:dyDescent="0.2">
      <c r="C2290" s="5"/>
      <c r="I2290" s="5"/>
      <c r="L2290" s="5"/>
      <c r="M2290" s="5"/>
      <c r="N2290" s="5"/>
      <c r="P2290" s="5"/>
      <c r="Q2290" s="5"/>
      <c r="R2290" s="5"/>
      <c r="S2290" s="5"/>
      <c r="U2290" s="5"/>
      <c r="W2290" s="5"/>
    </row>
    <row r="2291" spans="3:23" x14ac:dyDescent="0.2">
      <c r="C2291" s="5"/>
      <c r="I2291" s="5"/>
      <c r="L2291" s="5"/>
      <c r="M2291" s="5"/>
      <c r="N2291" s="5"/>
      <c r="P2291" s="5"/>
      <c r="Q2291" s="5"/>
      <c r="R2291" s="5"/>
      <c r="S2291" s="5"/>
      <c r="U2291" s="5"/>
      <c r="W2291" s="5"/>
    </row>
    <row r="2292" spans="3:23" x14ac:dyDescent="0.2">
      <c r="C2292" s="5"/>
      <c r="I2292" s="5"/>
      <c r="L2292" s="5"/>
      <c r="M2292" s="5"/>
      <c r="N2292" s="5"/>
      <c r="P2292" s="5"/>
      <c r="Q2292" s="5"/>
      <c r="R2292" s="5"/>
      <c r="S2292" s="5"/>
      <c r="U2292" s="5"/>
      <c r="W2292" s="5"/>
    </row>
    <row r="2293" spans="3:23" x14ac:dyDescent="0.2">
      <c r="C2293" s="5"/>
      <c r="I2293" s="5"/>
      <c r="L2293" s="5"/>
      <c r="M2293" s="5"/>
      <c r="N2293" s="5"/>
      <c r="P2293" s="5"/>
      <c r="Q2293" s="5"/>
      <c r="R2293" s="5"/>
      <c r="S2293" s="5"/>
      <c r="U2293" s="5"/>
      <c r="W2293" s="5"/>
    </row>
    <row r="2294" spans="3:23" x14ac:dyDescent="0.2">
      <c r="C2294" s="5"/>
      <c r="I2294" s="5"/>
      <c r="L2294" s="5"/>
      <c r="M2294" s="5"/>
      <c r="N2294" s="5"/>
      <c r="P2294" s="5"/>
      <c r="Q2294" s="5"/>
      <c r="R2294" s="5"/>
      <c r="S2294" s="5"/>
      <c r="U2294" s="5"/>
      <c r="W2294" s="5"/>
    </row>
    <row r="2295" spans="3:23" x14ac:dyDescent="0.2">
      <c r="C2295" s="5"/>
      <c r="I2295" s="5"/>
      <c r="L2295" s="5"/>
      <c r="M2295" s="5"/>
      <c r="N2295" s="5"/>
      <c r="P2295" s="5"/>
      <c r="Q2295" s="5"/>
      <c r="R2295" s="5"/>
      <c r="S2295" s="5"/>
      <c r="U2295" s="5"/>
      <c r="W2295" s="5"/>
    </row>
    <row r="2296" spans="3:23" x14ac:dyDescent="0.2">
      <c r="C2296" s="5"/>
      <c r="I2296" s="5"/>
      <c r="L2296" s="5"/>
      <c r="M2296" s="5"/>
      <c r="N2296" s="5"/>
      <c r="P2296" s="5"/>
      <c r="Q2296" s="5"/>
      <c r="R2296" s="5"/>
      <c r="S2296" s="5"/>
      <c r="U2296" s="5"/>
      <c r="W2296" s="5"/>
    </row>
    <row r="2297" spans="3:23" x14ac:dyDescent="0.2">
      <c r="C2297" s="5"/>
      <c r="I2297" s="5"/>
      <c r="L2297" s="5"/>
      <c r="M2297" s="5"/>
      <c r="N2297" s="5"/>
      <c r="P2297" s="5"/>
      <c r="Q2297" s="5"/>
      <c r="R2297" s="5"/>
      <c r="S2297" s="5"/>
      <c r="U2297" s="5"/>
      <c r="W2297" s="5"/>
    </row>
    <row r="2298" spans="3:23" x14ac:dyDescent="0.2">
      <c r="C2298" s="5"/>
      <c r="I2298" s="5"/>
      <c r="L2298" s="5"/>
      <c r="M2298" s="5"/>
      <c r="N2298" s="5"/>
      <c r="P2298" s="5"/>
      <c r="Q2298" s="5"/>
      <c r="R2298" s="5"/>
      <c r="S2298" s="5"/>
      <c r="U2298" s="5"/>
      <c r="W2298" s="5"/>
    </row>
    <row r="2299" spans="3:23" x14ac:dyDescent="0.2">
      <c r="C2299" s="5"/>
      <c r="I2299" s="5"/>
      <c r="L2299" s="5"/>
      <c r="M2299" s="5"/>
      <c r="N2299" s="5"/>
      <c r="P2299" s="5"/>
      <c r="Q2299" s="5"/>
      <c r="R2299" s="5"/>
      <c r="S2299" s="5"/>
      <c r="U2299" s="5"/>
      <c r="W2299" s="5"/>
    </row>
    <row r="2300" spans="3:23" x14ac:dyDescent="0.2">
      <c r="C2300" s="5"/>
      <c r="I2300" s="5"/>
      <c r="L2300" s="5"/>
      <c r="M2300" s="5"/>
      <c r="N2300" s="5"/>
      <c r="P2300" s="5"/>
      <c r="Q2300" s="5"/>
      <c r="R2300" s="5"/>
      <c r="S2300" s="5"/>
      <c r="U2300" s="5"/>
      <c r="W2300" s="5"/>
    </row>
  </sheetData>
  <autoFilter ref="A2:V2300" xr:uid="{00000000-0009-0000-0000-000000000000}">
    <sortState ref="A3:V2300">
      <sortCondition ref="B1:B2301"/>
    </sortState>
  </autoFilter>
  <sortState ref="A913:X2157">
    <sortCondition ref="F1389"/>
  </sortState>
  <mergeCells count="6">
    <mergeCell ref="S1:T1"/>
    <mergeCell ref="O1:Q1"/>
    <mergeCell ref="A1:C1"/>
    <mergeCell ref="D1:G1"/>
    <mergeCell ref="H1:I1"/>
    <mergeCell ref="J1:N1"/>
  </mergeCells>
  <phoneticPr fontId="8" type="noConversion"/>
  <pageMargins left="0" right="0" top="0.39409448818897641" bottom="0.39409448818897641" header="0" footer="0"/>
  <pageSetup paperSize="8" scale="60" orientation="landscape" r:id="rId1"/>
  <headerFooter>
    <oddHeader>&amp;C&amp;A</oddHeader>
    <oddFooter>&amp;CPagina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9"/>
  <dimension ref="A1:AD106"/>
  <sheetViews>
    <sheetView topLeftCell="A52" zoomScale="70" zoomScaleNormal="70" workbookViewId="0">
      <selection activeCell="AD94" sqref="AD94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24">
        <v>43466</v>
      </c>
      <c r="B1" s="25">
        <v>0</v>
      </c>
      <c r="C1" s="26">
        <v>0</v>
      </c>
      <c r="E1" s="55"/>
      <c r="F1" s="56"/>
    </row>
    <row r="2" spans="1:6" x14ac:dyDescent="0.2">
      <c r="A2" s="23">
        <v>43467</v>
      </c>
      <c r="B2" s="46">
        <v>254.54545454545453</v>
      </c>
      <c r="C2" s="47">
        <v>1350</v>
      </c>
      <c r="E2" s="55"/>
      <c r="F2" s="56"/>
    </row>
    <row r="3" spans="1:6" x14ac:dyDescent="0.2">
      <c r="A3" s="23">
        <v>43468</v>
      </c>
      <c r="B3" s="46">
        <v>254.54545454545453</v>
      </c>
      <c r="C3" s="47">
        <v>1350</v>
      </c>
    </row>
    <row r="4" spans="1:6" x14ac:dyDescent="0.2">
      <c r="A4" s="23">
        <v>43469</v>
      </c>
      <c r="B4" s="46">
        <v>254.54545454545453</v>
      </c>
      <c r="C4" s="47">
        <v>1350</v>
      </c>
    </row>
    <row r="5" spans="1:6" x14ac:dyDescent="0.2">
      <c r="A5" s="24">
        <v>43470</v>
      </c>
      <c r="B5" s="25">
        <v>0</v>
      </c>
      <c r="C5" s="26">
        <v>0</v>
      </c>
      <c r="E5" s="29" t="s">
        <v>148</v>
      </c>
      <c r="F5" s="30">
        <f>SUM(B2:B4)</f>
        <v>763.63636363636363</v>
      </c>
    </row>
    <row r="6" spans="1:6" x14ac:dyDescent="0.2">
      <c r="A6" s="24">
        <v>43471</v>
      </c>
      <c r="B6" s="25">
        <v>0</v>
      </c>
      <c r="C6" s="26">
        <v>0</v>
      </c>
      <c r="E6" s="29" t="s">
        <v>149</v>
      </c>
      <c r="F6" s="31">
        <f>F5/3</f>
        <v>254.54545454545453</v>
      </c>
    </row>
    <row r="7" spans="1:6" x14ac:dyDescent="0.2">
      <c r="A7" s="23">
        <v>43472</v>
      </c>
      <c r="B7" s="46">
        <v>254.54545454545453</v>
      </c>
      <c r="C7" s="47">
        <v>1350</v>
      </c>
    </row>
    <row r="8" spans="1:6" x14ac:dyDescent="0.2">
      <c r="A8" s="23">
        <v>43473</v>
      </c>
      <c r="B8" s="46">
        <v>254.54545454545453</v>
      </c>
      <c r="C8" s="47">
        <v>1350</v>
      </c>
    </row>
    <row r="9" spans="1:6" x14ac:dyDescent="0.2">
      <c r="A9" s="23">
        <v>43474</v>
      </c>
      <c r="B9" s="46">
        <v>254.54545454545453</v>
      </c>
      <c r="C9" s="47">
        <v>1350</v>
      </c>
    </row>
    <row r="10" spans="1:6" x14ac:dyDescent="0.2">
      <c r="A10" s="23">
        <v>43475</v>
      </c>
      <c r="B10" s="46">
        <v>254.54545454545453</v>
      </c>
      <c r="C10" s="47">
        <v>1350</v>
      </c>
    </row>
    <row r="11" spans="1:6" x14ac:dyDescent="0.2">
      <c r="A11" s="23">
        <v>43476</v>
      </c>
      <c r="B11" s="46">
        <v>254.54545454545453</v>
      </c>
      <c r="C11" s="47">
        <v>1350</v>
      </c>
    </row>
    <row r="12" spans="1:6" x14ac:dyDescent="0.2">
      <c r="A12" s="24">
        <v>43477</v>
      </c>
      <c r="B12" s="25">
        <v>0</v>
      </c>
      <c r="C12" s="26">
        <v>0</v>
      </c>
      <c r="E12" s="29" t="s">
        <v>148</v>
      </c>
      <c r="F12" s="30">
        <f>SUM(B7:B11)</f>
        <v>1272.7272727272727</v>
      </c>
    </row>
    <row r="13" spans="1:6" x14ac:dyDescent="0.2">
      <c r="A13" s="24">
        <v>43478</v>
      </c>
      <c r="B13" s="25">
        <v>0</v>
      </c>
      <c r="C13" s="26">
        <v>0</v>
      </c>
      <c r="E13" s="29" t="s">
        <v>149</v>
      </c>
      <c r="F13" s="31">
        <f>F12/5</f>
        <v>254.54545454545456</v>
      </c>
    </row>
    <row r="14" spans="1:6" x14ac:dyDescent="0.2">
      <c r="A14" s="23">
        <v>43479</v>
      </c>
      <c r="B14" s="46">
        <v>254.54545454545453</v>
      </c>
      <c r="C14" s="47">
        <v>1350</v>
      </c>
    </row>
    <row r="15" spans="1:6" x14ac:dyDescent="0.2">
      <c r="A15" s="23">
        <v>43480</v>
      </c>
      <c r="B15" s="46">
        <v>254.54545454545453</v>
      </c>
      <c r="C15" s="47">
        <v>1350</v>
      </c>
    </row>
    <row r="16" spans="1:6" x14ac:dyDescent="0.2">
      <c r="A16" s="23">
        <v>43481</v>
      </c>
      <c r="B16" s="46">
        <v>254.54545454545453</v>
      </c>
      <c r="C16" s="47">
        <v>1350</v>
      </c>
    </row>
    <row r="17" spans="1:6" x14ac:dyDescent="0.2">
      <c r="A17" s="23">
        <v>43482</v>
      </c>
      <c r="B17" s="46">
        <v>254.54545454545453</v>
      </c>
      <c r="C17" s="47">
        <v>1350</v>
      </c>
    </row>
    <row r="18" spans="1:6" x14ac:dyDescent="0.2">
      <c r="A18" s="23">
        <v>43483</v>
      </c>
      <c r="B18" s="46">
        <v>254.54545454545453</v>
      </c>
      <c r="C18" s="47">
        <v>1350</v>
      </c>
    </row>
    <row r="19" spans="1:6" x14ac:dyDescent="0.2">
      <c r="A19" s="24">
        <v>43484</v>
      </c>
      <c r="B19" s="25">
        <v>0</v>
      </c>
      <c r="C19" s="26">
        <v>0</v>
      </c>
      <c r="E19" s="29" t="s">
        <v>148</v>
      </c>
      <c r="F19" s="30">
        <f>SUM(B14:B18)</f>
        <v>1272.7272727272727</v>
      </c>
    </row>
    <row r="20" spans="1:6" x14ac:dyDescent="0.2">
      <c r="A20" s="24">
        <v>43485</v>
      </c>
      <c r="B20" s="25">
        <v>0</v>
      </c>
      <c r="C20" s="26">
        <v>0</v>
      </c>
      <c r="E20" s="29" t="s">
        <v>149</v>
      </c>
      <c r="F20" s="31">
        <f>F19/5</f>
        <v>254.54545454545456</v>
      </c>
    </row>
    <row r="21" spans="1:6" x14ac:dyDescent="0.2">
      <c r="A21" s="23">
        <v>43486</v>
      </c>
      <c r="B21" s="46">
        <v>254.54545454545453</v>
      </c>
      <c r="C21" s="47">
        <v>1350</v>
      </c>
    </row>
    <row r="22" spans="1:6" x14ac:dyDescent="0.2">
      <c r="A22" s="23">
        <v>43487</v>
      </c>
      <c r="B22" s="46">
        <v>254.54545454545453</v>
      </c>
      <c r="C22" s="47">
        <v>1350</v>
      </c>
    </row>
    <row r="23" spans="1:6" x14ac:dyDescent="0.2">
      <c r="A23" s="23">
        <v>43488</v>
      </c>
      <c r="B23" s="46">
        <v>254.54545454545453</v>
      </c>
      <c r="C23" s="47">
        <v>1350</v>
      </c>
    </row>
    <row r="24" spans="1:6" x14ac:dyDescent="0.2">
      <c r="A24" s="23">
        <v>43489</v>
      </c>
      <c r="B24" s="48">
        <v>254.54545454545453</v>
      </c>
      <c r="C24" s="47">
        <v>1350</v>
      </c>
    </row>
    <row r="25" spans="1:6" x14ac:dyDescent="0.2">
      <c r="A25" s="23">
        <v>43490</v>
      </c>
      <c r="B25" s="48">
        <v>254.54545454545453</v>
      </c>
      <c r="C25" s="47">
        <v>1350</v>
      </c>
    </row>
    <row r="26" spans="1:6" x14ac:dyDescent="0.2">
      <c r="A26" s="24">
        <v>43491</v>
      </c>
      <c r="B26" s="27">
        <v>0</v>
      </c>
      <c r="C26" s="26">
        <v>0</v>
      </c>
      <c r="E26" s="29" t="s">
        <v>148</v>
      </c>
      <c r="F26" s="30">
        <f>SUM(B21:B25)</f>
        <v>1272.7272727272727</v>
      </c>
    </row>
    <row r="27" spans="1:6" x14ac:dyDescent="0.2">
      <c r="A27" s="24">
        <v>43492</v>
      </c>
      <c r="B27" s="27">
        <v>0</v>
      </c>
      <c r="C27" s="26">
        <v>0</v>
      </c>
      <c r="E27" s="29" t="s">
        <v>149</v>
      </c>
      <c r="F27" s="32">
        <f>F26/5</f>
        <v>254.54545454545456</v>
      </c>
    </row>
    <row r="28" spans="1:6" x14ac:dyDescent="0.2">
      <c r="A28" s="23">
        <v>43493</v>
      </c>
      <c r="B28" s="48">
        <v>254.54545454545453</v>
      </c>
      <c r="C28" s="47">
        <v>1350</v>
      </c>
    </row>
    <row r="29" spans="1:6" x14ac:dyDescent="0.2">
      <c r="A29" s="23">
        <v>43494</v>
      </c>
      <c r="B29" s="48">
        <v>254.54545454545453</v>
      </c>
      <c r="C29" s="47">
        <v>1350</v>
      </c>
    </row>
    <row r="30" spans="1:6" x14ac:dyDescent="0.2">
      <c r="A30" s="23">
        <v>43495</v>
      </c>
      <c r="B30" s="48">
        <v>254.54545454545453</v>
      </c>
      <c r="C30" s="47">
        <v>1350</v>
      </c>
      <c r="E30" s="29" t="s">
        <v>148</v>
      </c>
      <c r="F30" s="30">
        <f>SUM(B28:B31)</f>
        <v>1018.1818181818181</v>
      </c>
    </row>
    <row r="31" spans="1:6" x14ac:dyDescent="0.2">
      <c r="A31" s="23">
        <v>43496</v>
      </c>
      <c r="B31" s="48">
        <v>254.54545454545453</v>
      </c>
      <c r="C31" s="47">
        <v>1350</v>
      </c>
      <c r="E31" s="29" t="s">
        <v>149</v>
      </c>
      <c r="F31" s="31">
        <f>F30/4</f>
        <v>254.54545454545453</v>
      </c>
    </row>
    <row r="33" spans="1:3" x14ac:dyDescent="0.2">
      <c r="A33" s="24">
        <v>43466</v>
      </c>
      <c r="B33" s="28">
        <f>B1</f>
        <v>0</v>
      </c>
      <c r="C33" s="28">
        <f>C1</f>
        <v>0</v>
      </c>
    </row>
    <row r="34" spans="1:3" x14ac:dyDescent="0.2">
      <c r="A34" s="23">
        <v>43467</v>
      </c>
      <c r="B34" s="49">
        <f>B2+B33</f>
        <v>254.54545454545453</v>
      </c>
      <c r="C34" s="49">
        <f>C2+C33</f>
        <v>1350</v>
      </c>
    </row>
    <row r="35" spans="1:3" x14ac:dyDescent="0.2">
      <c r="A35" s="23">
        <v>43468</v>
      </c>
      <c r="B35" s="49">
        <f t="shared" ref="B35:C50" si="0">B3+B34</f>
        <v>509.09090909090907</v>
      </c>
      <c r="C35" s="49">
        <f t="shared" si="0"/>
        <v>2700</v>
      </c>
    </row>
    <row r="36" spans="1:3" x14ac:dyDescent="0.2">
      <c r="A36" s="23">
        <v>43469</v>
      </c>
      <c r="B36" s="49">
        <f t="shared" si="0"/>
        <v>763.63636363636363</v>
      </c>
      <c r="C36" s="49">
        <f t="shared" si="0"/>
        <v>4050</v>
      </c>
    </row>
    <row r="37" spans="1:3" x14ac:dyDescent="0.2">
      <c r="A37" s="24">
        <v>43470</v>
      </c>
      <c r="B37" s="28">
        <f t="shared" si="0"/>
        <v>763.63636363636363</v>
      </c>
      <c r="C37" s="28">
        <f t="shared" si="0"/>
        <v>4050</v>
      </c>
    </row>
    <row r="38" spans="1:3" x14ac:dyDescent="0.2">
      <c r="A38" s="24">
        <v>43471</v>
      </c>
      <c r="B38" s="28">
        <f t="shared" si="0"/>
        <v>763.63636363636363</v>
      </c>
      <c r="C38" s="28">
        <f t="shared" si="0"/>
        <v>4050</v>
      </c>
    </row>
    <row r="39" spans="1:3" x14ac:dyDescent="0.2">
      <c r="A39" s="23">
        <v>43472</v>
      </c>
      <c r="B39" s="49">
        <f t="shared" si="0"/>
        <v>1018.1818181818181</v>
      </c>
      <c r="C39" s="49">
        <f t="shared" si="0"/>
        <v>5400</v>
      </c>
    </row>
    <row r="40" spans="1:3" x14ac:dyDescent="0.2">
      <c r="A40" s="23">
        <v>43473</v>
      </c>
      <c r="B40" s="49">
        <f t="shared" si="0"/>
        <v>1272.7272727272727</v>
      </c>
      <c r="C40" s="49">
        <f t="shared" si="0"/>
        <v>6750</v>
      </c>
    </row>
    <row r="41" spans="1:3" x14ac:dyDescent="0.2">
      <c r="A41" s="23">
        <v>43474</v>
      </c>
      <c r="B41" s="49">
        <f t="shared" si="0"/>
        <v>1527.2727272727273</v>
      </c>
      <c r="C41" s="49">
        <f t="shared" si="0"/>
        <v>8100</v>
      </c>
    </row>
    <row r="42" spans="1:3" x14ac:dyDescent="0.2">
      <c r="A42" s="23">
        <v>43475</v>
      </c>
      <c r="B42" s="49">
        <f t="shared" si="0"/>
        <v>1781.8181818181818</v>
      </c>
      <c r="C42" s="49">
        <f t="shared" si="0"/>
        <v>9450</v>
      </c>
    </row>
    <row r="43" spans="1:3" x14ac:dyDescent="0.2">
      <c r="A43" s="23">
        <v>43476</v>
      </c>
      <c r="B43" s="49">
        <f t="shared" si="0"/>
        <v>2036.3636363636363</v>
      </c>
      <c r="C43" s="49">
        <f t="shared" si="0"/>
        <v>10800</v>
      </c>
    </row>
    <row r="44" spans="1:3" x14ac:dyDescent="0.2">
      <c r="A44" s="24">
        <v>43477</v>
      </c>
      <c r="B44" s="28">
        <f t="shared" si="0"/>
        <v>2036.3636363636363</v>
      </c>
      <c r="C44" s="28">
        <f t="shared" si="0"/>
        <v>10800</v>
      </c>
    </row>
    <row r="45" spans="1:3" x14ac:dyDescent="0.2">
      <c r="A45" s="24">
        <v>43478</v>
      </c>
      <c r="B45" s="28">
        <f t="shared" si="0"/>
        <v>2036.3636363636363</v>
      </c>
      <c r="C45" s="28">
        <f t="shared" si="0"/>
        <v>10800</v>
      </c>
    </row>
    <row r="46" spans="1:3" x14ac:dyDescent="0.2">
      <c r="A46" s="23">
        <v>43479</v>
      </c>
      <c r="B46" s="49">
        <f t="shared" si="0"/>
        <v>2290.909090909091</v>
      </c>
      <c r="C46" s="49">
        <f t="shared" si="0"/>
        <v>12150</v>
      </c>
    </row>
    <row r="47" spans="1:3" x14ac:dyDescent="0.2">
      <c r="A47" s="23">
        <v>43480</v>
      </c>
      <c r="B47" s="49">
        <f t="shared" si="0"/>
        <v>2545.4545454545455</v>
      </c>
      <c r="C47" s="49">
        <f t="shared" si="0"/>
        <v>13500</v>
      </c>
    </row>
    <row r="48" spans="1:3" x14ac:dyDescent="0.2">
      <c r="A48" s="23">
        <v>43481</v>
      </c>
      <c r="B48" s="49">
        <f t="shared" si="0"/>
        <v>2800</v>
      </c>
      <c r="C48" s="49">
        <f t="shared" si="0"/>
        <v>14850</v>
      </c>
    </row>
    <row r="49" spans="1:4" x14ac:dyDescent="0.2">
      <c r="A49" s="23">
        <v>43482</v>
      </c>
      <c r="B49" s="49">
        <f t="shared" si="0"/>
        <v>3054.5454545454545</v>
      </c>
      <c r="C49" s="49">
        <f t="shared" si="0"/>
        <v>16200</v>
      </c>
    </row>
    <row r="50" spans="1:4" x14ac:dyDescent="0.2">
      <c r="A50" s="23">
        <v>43483</v>
      </c>
      <c r="B50" s="49">
        <f t="shared" si="0"/>
        <v>3309.090909090909</v>
      </c>
      <c r="C50" s="49">
        <f t="shared" si="0"/>
        <v>17550</v>
      </c>
    </row>
    <row r="51" spans="1:4" x14ac:dyDescent="0.2">
      <c r="A51" s="24">
        <v>43484</v>
      </c>
      <c r="B51" s="28">
        <f t="shared" ref="B51:C63" si="1">B19+B50</f>
        <v>3309.090909090909</v>
      </c>
      <c r="C51" s="28">
        <f t="shared" si="1"/>
        <v>17550</v>
      </c>
    </row>
    <row r="52" spans="1:4" x14ac:dyDescent="0.2">
      <c r="A52" s="24">
        <v>43485</v>
      </c>
      <c r="B52" s="28">
        <f t="shared" si="1"/>
        <v>3309.090909090909</v>
      </c>
      <c r="C52" s="28">
        <f t="shared" si="1"/>
        <v>17550</v>
      </c>
    </row>
    <row r="53" spans="1:4" x14ac:dyDescent="0.2">
      <c r="A53" s="23">
        <v>43486</v>
      </c>
      <c r="B53" s="49">
        <f t="shared" si="1"/>
        <v>3563.6363636363635</v>
      </c>
      <c r="C53" s="49">
        <f t="shared" si="1"/>
        <v>18900</v>
      </c>
    </row>
    <row r="54" spans="1:4" x14ac:dyDescent="0.2">
      <c r="A54" s="23">
        <v>43487</v>
      </c>
      <c r="B54" s="49">
        <f t="shared" si="1"/>
        <v>3818.181818181818</v>
      </c>
      <c r="C54" s="49">
        <f t="shared" si="1"/>
        <v>20250</v>
      </c>
    </row>
    <row r="55" spans="1:4" x14ac:dyDescent="0.2">
      <c r="A55" s="23">
        <v>43488</v>
      </c>
      <c r="B55" s="49">
        <f t="shared" si="1"/>
        <v>4072.7272727272725</v>
      </c>
      <c r="C55" s="49">
        <f t="shared" si="1"/>
        <v>21600</v>
      </c>
    </row>
    <row r="56" spans="1:4" x14ac:dyDescent="0.2">
      <c r="A56" s="23">
        <v>43489</v>
      </c>
      <c r="B56" s="49">
        <f t="shared" si="1"/>
        <v>4327.272727272727</v>
      </c>
      <c r="C56" s="49">
        <f t="shared" si="1"/>
        <v>22950</v>
      </c>
    </row>
    <row r="57" spans="1:4" x14ac:dyDescent="0.2">
      <c r="A57" s="23">
        <v>43490</v>
      </c>
      <c r="B57" s="49">
        <f t="shared" si="1"/>
        <v>4581.818181818182</v>
      </c>
      <c r="C57" s="49">
        <f t="shared" si="1"/>
        <v>24300</v>
      </c>
    </row>
    <row r="58" spans="1:4" x14ac:dyDescent="0.2">
      <c r="A58" s="24">
        <v>43491</v>
      </c>
      <c r="B58" s="28">
        <f t="shared" si="1"/>
        <v>4581.818181818182</v>
      </c>
      <c r="C58" s="28">
        <f t="shared" si="1"/>
        <v>24300</v>
      </c>
    </row>
    <row r="59" spans="1:4" x14ac:dyDescent="0.2">
      <c r="A59" s="24">
        <v>43492</v>
      </c>
      <c r="B59" s="28">
        <f t="shared" si="1"/>
        <v>4581.818181818182</v>
      </c>
      <c r="C59" s="28">
        <f t="shared" si="1"/>
        <v>24300</v>
      </c>
    </row>
    <row r="60" spans="1:4" x14ac:dyDescent="0.2">
      <c r="A60" s="23">
        <v>43493</v>
      </c>
      <c r="B60" s="49">
        <f t="shared" si="1"/>
        <v>4836.3636363636369</v>
      </c>
      <c r="C60" s="49">
        <f t="shared" si="1"/>
        <v>25650</v>
      </c>
    </row>
    <row r="61" spans="1:4" x14ac:dyDescent="0.2">
      <c r="A61" s="23">
        <v>43494</v>
      </c>
      <c r="B61" s="49">
        <f t="shared" si="1"/>
        <v>5090.9090909090919</v>
      </c>
      <c r="C61" s="49">
        <f t="shared" si="1"/>
        <v>27000</v>
      </c>
    </row>
    <row r="62" spans="1:4" x14ac:dyDescent="0.2">
      <c r="A62" s="23">
        <v>43495</v>
      </c>
      <c r="B62" s="49">
        <f t="shared" si="1"/>
        <v>5345.4545454545469</v>
      </c>
      <c r="C62" s="49">
        <f t="shared" si="1"/>
        <v>28350</v>
      </c>
    </row>
    <row r="63" spans="1:4" x14ac:dyDescent="0.2">
      <c r="A63" s="23">
        <v>43496</v>
      </c>
      <c r="B63" s="49">
        <f t="shared" si="1"/>
        <v>5600.0000000000018</v>
      </c>
      <c r="C63" s="49">
        <f t="shared" si="1"/>
        <v>29700</v>
      </c>
      <c r="D63" s="81">
        <f>SUM(B63-C63)</f>
        <v>-24100</v>
      </c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111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4">
        <v>43466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64">
        <f>AA70+AB70</f>
        <v>0</v>
      </c>
    </row>
    <row r="71" spans="1:30" x14ac:dyDescent="0.2">
      <c r="A71" s="23">
        <v>43467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69">
        <f t="shared" si="2"/>
        <v>0</v>
      </c>
      <c r="AC71" s="64">
        <f t="shared" ref="AC71:AC98" si="3">AA71+AB71</f>
        <v>0</v>
      </c>
    </row>
    <row r="72" spans="1:30" x14ac:dyDescent="0.2">
      <c r="A72" s="23">
        <v>43468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64">
        <f t="shared" si="3"/>
        <v>0</v>
      </c>
    </row>
    <row r="73" spans="1:30" x14ac:dyDescent="0.2">
      <c r="A73" s="23">
        <v>43469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71">
        <f t="shared" si="3"/>
        <v>0</v>
      </c>
      <c r="AD73" s="72">
        <f>SUM(AC70:AC73)</f>
        <v>0</v>
      </c>
    </row>
    <row r="74" spans="1:30" x14ac:dyDescent="0.2">
      <c r="A74" s="24">
        <v>43470</v>
      </c>
      <c r="B74" s="76"/>
      <c r="C74" s="77"/>
      <c r="D74" s="78"/>
      <c r="E74" s="77"/>
      <c r="F74" s="76"/>
      <c r="G74" s="77"/>
      <c r="H74" s="78"/>
      <c r="I74" s="4"/>
      <c r="J74" s="76"/>
      <c r="K74" s="77"/>
      <c r="L74" s="78"/>
      <c r="M74" s="4"/>
      <c r="N74" s="76"/>
      <c r="O74" s="77"/>
      <c r="P74" s="78"/>
      <c r="Q74" s="4"/>
      <c r="R74" s="76"/>
      <c r="S74" s="77"/>
      <c r="T74" s="78"/>
      <c r="U74" s="4"/>
      <c r="V74" s="76"/>
      <c r="W74" s="77"/>
      <c r="X74" s="78"/>
      <c r="Y74" s="77"/>
      <c r="AA74" s="34">
        <f t="shared" si="2"/>
        <v>0</v>
      </c>
      <c r="AB74" s="39">
        <f t="shared" si="2"/>
        <v>0</v>
      </c>
      <c r="AC74" s="51">
        <f t="shared" si="3"/>
        <v>0</v>
      </c>
    </row>
    <row r="75" spans="1:30" x14ac:dyDescent="0.2">
      <c r="A75" s="24">
        <v>43471</v>
      </c>
      <c r="B75" s="76"/>
      <c r="C75" s="77"/>
      <c r="D75" s="78"/>
      <c r="E75" s="77"/>
      <c r="F75" s="76"/>
      <c r="G75" s="77"/>
      <c r="H75" s="78"/>
      <c r="I75" s="4"/>
      <c r="J75" s="76"/>
      <c r="K75" s="77"/>
      <c r="L75" s="78"/>
      <c r="M75" s="4"/>
      <c r="N75" s="76"/>
      <c r="O75" s="77"/>
      <c r="P75" s="78"/>
      <c r="Q75" s="4"/>
      <c r="R75" s="76"/>
      <c r="S75" s="77"/>
      <c r="T75" s="78"/>
      <c r="U75" s="4"/>
      <c r="V75" s="76"/>
      <c r="W75" s="77"/>
      <c r="X75" s="78"/>
      <c r="Y75" s="77"/>
      <c r="AA75" s="34">
        <f t="shared" si="2"/>
        <v>0</v>
      </c>
      <c r="AB75" s="39">
        <f t="shared" si="2"/>
        <v>0</v>
      </c>
      <c r="AC75" s="51">
        <f t="shared" si="3"/>
        <v>0</v>
      </c>
    </row>
    <row r="76" spans="1:30" x14ac:dyDescent="0.2">
      <c r="A76" s="23">
        <v>43472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</row>
    <row r="77" spans="1:30" x14ac:dyDescent="0.2">
      <c r="A77" s="23">
        <v>43473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64">
        <f t="shared" si="3"/>
        <v>0</v>
      </c>
    </row>
    <row r="78" spans="1:30" x14ac:dyDescent="0.2">
      <c r="A78" s="23">
        <v>43474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69">
        <f t="shared" si="2"/>
        <v>0</v>
      </c>
      <c r="AC78" s="64">
        <f t="shared" si="3"/>
        <v>0</v>
      </c>
    </row>
    <row r="79" spans="1:30" x14ac:dyDescent="0.2">
      <c r="A79" s="23">
        <v>43475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64">
        <f t="shared" si="3"/>
        <v>0</v>
      </c>
    </row>
    <row r="80" spans="1:30" x14ac:dyDescent="0.2">
      <c r="A80" s="23">
        <v>43476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71">
        <f t="shared" si="3"/>
        <v>0</v>
      </c>
      <c r="AD80" s="72">
        <f>SUM(AC76:AC80)</f>
        <v>0</v>
      </c>
    </row>
    <row r="81" spans="1:30" x14ac:dyDescent="0.2">
      <c r="A81" s="24">
        <v>43477</v>
      </c>
      <c r="B81" s="76"/>
      <c r="C81" s="77"/>
      <c r="D81" s="78"/>
      <c r="E81" s="77"/>
      <c r="F81" s="76"/>
      <c r="G81" s="77"/>
      <c r="H81" s="78"/>
      <c r="I81" s="4"/>
      <c r="J81" s="76"/>
      <c r="K81" s="77"/>
      <c r="L81" s="78"/>
      <c r="M81" s="4"/>
      <c r="N81" s="76"/>
      <c r="O81" s="77"/>
      <c r="P81" s="78"/>
      <c r="Q81" s="4"/>
      <c r="R81" s="76"/>
      <c r="S81" s="77"/>
      <c r="T81" s="78"/>
      <c r="U81" s="4"/>
      <c r="V81" s="76"/>
      <c r="W81" s="77"/>
      <c r="X81" s="78"/>
      <c r="Y81" s="77"/>
      <c r="AA81" s="34">
        <f t="shared" si="2"/>
        <v>0</v>
      </c>
      <c r="AB81" s="39">
        <f t="shared" si="2"/>
        <v>0</v>
      </c>
      <c r="AC81" s="51">
        <f t="shared" si="3"/>
        <v>0</v>
      </c>
    </row>
    <row r="82" spans="1:30" x14ac:dyDescent="0.2">
      <c r="A82" s="24">
        <v>43478</v>
      </c>
      <c r="B82" s="76"/>
      <c r="C82" s="77"/>
      <c r="D82" s="78"/>
      <c r="E82" s="77"/>
      <c r="F82" s="76"/>
      <c r="G82" s="77"/>
      <c r="H82" s="78"/>
      <c r="I82" s="4"/>
      <c r="J82" s="76"/>
      <c r="K82" s="77"/>
      <c r="L82" s="78"/>
      <c r="M82" s="4"/>
      <c r="N82" s="76"/>
      <c r="O82" s="77"/>
      <c r="P82" s="78"/>
      <c r="Q82" s="4"/>
      <c r="R82" s="76"/>
      <c r="S82" s="77"/>
      <c r="T82" s="78"/>
      <c r="U82" s="4"/>
      <c r="V82" s="76"/>
      <c r="W82" s="77"/>
      <c r="X82" s="78"/>
      <c r="Y82" s="77"/>
      <c r="AA82" s="34">
        <f t="shared" si="2"/>
        <v>0</v>
      </c>
      <c r="AB82" s="39">
        <f t="shared" si="2"/>
        <v>0</v>
      </c>
      <c r="AC82" s="51">
        <f t="shared" si="3"/>
        <v>0</v>
      </c>
    </row>
    <row r="83" spans="1:30" x14ac:dyDescent="0.2">
      <c r="A83" s="23">
        <v>43479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</row>
    <row r="84" spans="1:30" x14ac:dyDescent="0.2">
      <c r="A84" s="23">
        <v>43480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64">
        <f t="shared" si="3"/>
        <v>0</v>
      </c>
    </row>
    <row r="85" spans="1:30" x14ac:dyDescent="0.2">
      <c r="A85" s="23">
        <v>43481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69">
        <f t="shared" si="2"/>
        <v>0</v>
      </c>
      <c r="AC85" s="64">
        <f t="shared" si="3"/>
        <v>0</v>
      </c>
    </row>
    <row r="86" spans="1:30" x14ac:dyDescent="0.2">
      <c r="A86" s="23">
        <v>43482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64">
        <f t="shared" si="3"/>
        <v>0</v>
      </c>
    </row>
    <row r="87" spans="1:30" x14ac:dyDescent="0.2">
      <c r="A87" s="23">
        <v>43483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71">
        <f t="shared" si="3"/>
        <v>0</v>
      </c>
      <c r="AD87" s="72">
        <f>SUM(AC83:AC87)</f>
        <v>0</v>
      </c>
    </row>
    <row r="88" spans="1:30" x14ac:dyDescent="0.2">
      <c r="A88" s="24">
        <v>43484</v>
      </c>
      <c r="B88" s="76"/>
      <c r="C88" s="77"/>
      <c r="D88" s="78"/>
      <c r="E88" s="77"/>
      <c r="F88" s="76"/>
      <c r="G88" s="77"/>
      <c r="H88" s="78"/>
      <c r="I88" s="4"/>
      <c r="J88" s="76"/>
      <c r="K88" s="77"/>
      <c r="L88" s="78"/>
      <c r="M88" s="4"/>
      <c r="N88" s="76"/>
      <c r="O88" s="77"/>
      <c r="P88" s="78"/>
      <c r="Q88" s="4"/>
      <c r="R88" s="76"/>
      <c r="S88" s="77"/>
      <c r="T88" s="78"/>
      <c r="U88" s="4"/>
      <c r="V88" s="76"/>
      <c r="W88" s="77"/>
      <c r="X88" s="78"/>
      <c r="Y88" s="77"/>
      <c r="AA88" s="34">
        <f t="shared" si="2"/>
        <v>0</v>
      </c>
      <c r="AB88" s="39">
        <f t="shared" si="2"/>
        <v>0</v>
      </c>
      <c r="AC88" s="51">
        <f t="shared" si="3"/>
        <v>0</v>
      </c>
    </row>
    <row r="89" spans="1:30" x14ac:dyDescent="0.2">
      <c r="A89" s="24">
        <v>43485</v>
      </c>
      <c r="B89" s="76"/>
      <c r="C89" s="77"/>
      <c r="D89" s="78"/>
      <c r="E89" s="77"/>
      <c r="F89" s="76"/>
      <c r="G89" s="77"/>
      <c r="H89" s="78"/>
      <c r="I89" s="4"/>
      <c r="J89" s="76"/>
      <c r="K89" s="77"/>
      <c r="L89" s="78"/>
      <c r="M89" s="4"/>
      <c r="N89" s="76"/>
      <c r="O89" s="77"/>
      <c r="P89" s="78"/>
      <c r="Q89" s="4"/>
      <c r="R89" s="76"/>
      <c r="S89" s="77"/>
      <c r="T89" s="78"/>
      <c r="U89" s="4"/>
      <c r="V89" s="76"/>
      <c r="W89" s="77"/>
      <c r="X89" s="78"/>
      <c r="Y89" s="77"/>
      <c r="AA89" s="34">
        <f t="shared" si="2"/>
        <v>0</v>
      </c>
      <c r="AB89" s="39">
        <f t="shared" si="2"/>
        <v>0</v>
      </c>
      <c r="AC89" s="51">
        <f t="shared" si="3"/>
        <v>0</v>
      </c>
    </row>
    <row r="90" spans="1:30" x14ac:dyDescent="0.2">
      <c r="A90" s="23">
        <v>43486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</row>
    <row r="91" spans="1:30" x14ac:dyDescent="0.2">
      <c r="A91" s="23">
        <v>43487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64">
        <f t="shared" si="3"/>
        <v>0</v>
      </c>
    </row>
    <row r="92" spans="1:30" x14ac:dyDescent="0.2">
      <c r="A92" s="23">
        <v>43488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69">
        <f t="shared" si="2"/>
        <v>0</v>
      </c>
      <c r="AC92" s="64">
        <f t="shared" si="3"/>
        <v>0</v>
      </c>
    </row>
    <row r="93" spans="1:30" x14ac:dyDescent="0.2">
      <c r="A93" s="23">
        <v>43489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64">
        <f t="shared" si="3"/>
        <v>0</v>
      </c>
    </row>
    <row r="94" spans="1:30" x14ac:dyDescent="0.2">
      <c r="A94" s="23">
        <v>43490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71">
        <f t="shared" si="3"/>
        <v>0</v>
      </c>
      <c r="AD94" s="72">
        <f>SUM(AC90:AC94)</f>
        <v>0</v>
      </c>
    </row>
    <row r="95" spans="1:30" x14ac:dyDescent="0.2">
      <c r="A95" s="24">
        <v>43491</v>
      </c>
      <c r="B95" s="76"/>
      <c r="C95" s="77"/>
      <c r="D95" s="78"/>
      <c r="E95" s="77"/>
      <c r="F95" s="76"/>
      <c r="G95" s="77"/>
      <c r="H95" s="78"/>
      <c r="I95" s="4"/>
      <c r="J95" s="76"/>
      <c r="K95" s="77"/>
      <c r="L95" s="78"/>
      <c r="M95" s="4"/>
      <c r="N95" s="76"/>
      <c r="O95" s="77"/>
      <c r="P95" s="78"/>
      <c r="Q95" s="4"/>
      <c r="R95" s="76"/>
      <c r="S95" s="77"/>
      <c r="T95" s="78"/>
      <c r="U95" s="4"/>
      <c r="V95" s="76"/>
      <c r="W95" s="77"/>
      <c r="X95" s="78"/>
      <c r="Y95" s="77"/>
      <c r="AA95" s="34">
        <f t="shared" si="2"/>
        <v>0</v>
      </c>
      <c r="AB95" s="39">
        <f t="shared" si="2"/>
        <v>0</v>
      </c>
      <c r="AC95" s="51">
        <f t="shared" si="3"/>
        <v>0</v>
      </c>
    </row>
    <row r="96" spans="1:30" x14ac:dyDescent="0.2">
      <c r="A96" s="24">
        <v>43492</v>
      </c>
      <c r="B96" s="76"/>
      <c r="C96" s="77"/>
      <c r="D96" s="78"/>
      <c r="E96" s="77"/>
      <c r="F96" s="76"/>
      <c r="G96" s="77"/>
      <c r="H96" s="78"/>
      <c r="I96" s="4"/>
      <c r="J96" s="76"/>
      <c r="K96" s="77"/>
      <c r="L96" s="78"/>
      <c r="M96" s="4"/>
      <c r="N96" s="76"/>
      <c r="O96" s="77"/>
      <c r="P96" s="78"/>
      <c r="Q96" s="4"/>
      <c r="R96" s="76"/>
      <c r="S96" s="77"/>
      <c r="T96" s="78"/>
      <c r="U96" s="4"/>
      <c r="V96" s="76"/>
      <c r="W96" s="77"/>
      <c r="X96" s="78"/>
      <c r="Y96" s="77"/>
      <c r="AA96" s="34">
        <f t="shared" si="2"/>
        <v>0</v>
      </c>
      <c r="AB96" s="39">
        <f t="shared" si="2"/>
        <v>0</v>
      </c>
      <c r="AC96" s="51">
        <f t="shared" si="3"/>
        <v>0</v>
      </c>
    </row>
    <row r="97" spans="1:30" x14ac:dyDescent="0.2">
      <c r="A97" s="23">
        <v>43493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</row>
    <row r="98" spans="1:30" x14ac:dyDescent="0.2">
      <c r="A98" s="23">
        <v>43494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64">
        <f t="shared" si="3"/>
        <v>0</v>
      </c>
    </row>
    <row r="99" spans="1:30" x14ac:dyDescent="0.2">
      <c r="A99" s="23">
        <v>43495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>B99+D99+F99+H99+J99+L99+N99+P99+R99+T99+V99+X99</f>
        <v>0</v>
      </c>
      <c r="AB99" s="69">
        <f>C99+E99+G99+I99+K99+M99+O99+Q99+S99+U99+W99+Y99</f>
        <v>0</v>
      </c>
      <c r="AC99" s="64">
        <f>AA99+AB99</f>
        <v>0</v>
      </c>
    </row>
    <row r="100" spans="1:30" ht="15" thickBot="1" x14ac:dyDescent="0.25">
      <c r="A100" s="23">
        <v>43496</v>
      </c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8">
        <f>B100+D100+F100+H100+J100+L100+N100+P100+R100+T100+V100+X100</f>
        <v>0</v>
      </c>
      <c r="AB100" s="70">
        <f>C100+E100+G100+I100+K100+M100+O100+Q100+S100+U100+W100+Y100</f>
        <v>0</v>
      </c>
      <c r="AC100" s="65">
        <f>AA100+AB100</f>
        <v>0</v>
      </c>
      <c r="AD100" s="50">
        <f>SUM(AC97:AC100)</f>
        <v>0</v>
      </c>
    </row>
    <row r="101" spans="1:30" ht="15" thickBot="1" x14ac:dyDescent="0.25">
      <c r="B101" s="60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8142F-9B62-46D5-B0EE-030CA442DF48}">
  <sheetPr codeName="Foglio10"/>
  <dimension ref="A1:AD106"/>
  <sheetViews>
    <sheetView zoomScale="85" zoomScaleNormal="85" workbookViewId="0">
      <selection activeCell="AD98" sqref="AD98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23">
        <v>43497</v>
      </c>
      <c r="B1" s="46">
        <v>280</v>
      </c>
      <c r="C1" s="47">
        <v>1350</v>
      </c>
      <c r="E1" s="55"/>
      <c r="F1" s="56"/>
    </row>
    <row r="2" spans="1:6" x14ac:dyDescent="0.2">
      <c r="A2" s="24">
        <v>43498</v>
      </c>
      <c r="B2" s="25">
        <v>0</v>
      </c>
      <c r="C2" s="26">
        <v>0</v>
      </c>
      <c r="E2" s="55"/>
      <c r="F2" s="56"/>
    </row>
    <row r="3" spans="1:6" x14ac:dyDescent="0.2">
      <c r="A3" s="24">
        <v>43499</v>
      </c>
      <c r="B3" s="25">
        <v>0</v>
      </c>
      <c r="C3" s="26">
        <v>0</v>
      </c>
    </row>
    <row r="4" spans="1:6" x14ac:dyDescent="0.2">
      <c r="A4" s="23">
        <v>43500</v>
      </c>
      <c r="B4" s="46">
        <v>280</v>
      </c>
      <c r="C4" s="47">
        <v>1350</v>
      </c>
    </row>
    <row r="5" spans="1:6" x14ac:dyDescent="0.2">
      <c r="A5" s="23">
        <v>43501</v>
      </c>
      <c r="B5" s="46">
        <v>280</v>
      </c>
      <c r="C5" s="47">
        <v>1350</v>
      </c>
    </row>
    <row r="6" spans="1:6" x14ac:dyDescent="0.2">
      <c r="A6" s="23">
        <v>43502</v>
      </c>
      <c r="B6" s="46">
        <v>280</v>
      </c>
      <c r="C6" s="47">
        <v>1350</v>
      </c>
    </row>
    <row r="7" spans="1:6" x14ac:dyDescent="0.2">
      <c r="A7" s="23">
        <v>43503</v>
      </c>
      <c r="B7" s="46">
        <v>280</v>
      </c>
      <c r="C7" s="47">
        <v>1350</v>
      </c>
      <c r="E7" s="29" t="s">
        <v>148</v>
      </c>
      <c r="F7" s="30">
        <f>SUM(B4:B8)</f>
        <v>1400</v>
      </c>
    </row>
    <row r="8" spans="1:6" x14ac:dyDescent="0.2">
      <c r="A8" s="23">
        <v>43504</v>
      </c>
      <c r="B8" s="46">
        <v>280</v>
      </c>
      <c r="C8" s="47">
        <v>1350</v>
      </c>
      <c r="E8" s="29" t="s">
        <v>149</v>
      </c>
      <c r="F8" s="31">
        <f>F7/5</f>
        <v>280</v>
      </c>
    </row>
    <row r="9" spans="1:6" x14ac:dyDescent="0.2">
      <c r="A9" s="24">
        <v>43505</v>
      </c>
      <c r="B9" s="25">
        <v>0</v>
      </c>
      <c r="C9" s="26">
        <v>0</v>
      </c>
    </row>
    <row r="10" spans="1:6" x14ac:dyDescent="0.2">
      <c r="A10" s="24">
        <v>43506</v>
      </c>
      <c r="B10" s="25">
        <v>0</v>
      </c>
      <c r="C10" s="26">
        <v>0</v>
      </c>
    </row>
    <row r="11" spans="1:6" x14ac:dyDescent="0.2">
      <c r="A11" s="23">
        <v>43507</v>
      </c>
      <c r="B11" s="46">
        <v>280</v>
      </c>
      <c r="C11" s="47">
        <v>1350</v>
      </c>
    </row>
    <row r="12" spans="1:6" x14ac:dyDescent="0.2">
      <c r="A12" s="23">
        <v>43508</v>
      </c>
      <c r="B12" s="46">
        <v>280</v>
      </c>
      <c r="C12" s="47">
        <v>1350</v>
      </c>
    </row>
    <row r="13" spans="1:6" x14ac:dyDescent="0.2">
      <c r="A13" s="23">
        <v>43509</v>
      </c>
      <c r="B13" s="46">
        <v>280</v>
      </c>
      <c r="C13" s="47">
        <v>1350</v>
      </c>
    </row>
    <row r="14" spans="1:6" x14ac:dyDescent="0.2">
      <c r="A14" s="23">
        <v>43510</v>
      </c>
      <c r="B14" s="46">
        <v>280</v>
      </c>
      <c r="C14" s="47">
        <v>1350</v>
      </c>
      <c r="E14" s="29" t="s">
        <v>148</v>
      </c>
      <c r="F14" s="30">
        <f>SUM(B11:B15)</f>
        <v>1400</v>
      </c>
    </row>
    <row r="15" spans="1:6" x14ac:dyDescent="0.2">
      <c r="A15" s="23">
        <v>43511</v>
      </c>
      <c r="B15" s="46">
        <v>280</v>
      </c>
      <c r="C15" s="47">
        <v>1350</v>
      </c>
      <c r="E15" s="29" t="s">
        <v>149</v>
      </c>
      <c r="F15" s="80">
        <f>F14/5</f>
        <v>280</v>
      </c>
    </row>
    <row r="16" spans="1:6" x14ac:dyDescent="0.2">
      <c r="A16" s="24">
        <v>43512</v>
      </c>
      <c r="B16" s="25">
        <v>0</v>
      </c>
      <c r="C16" s="26">
        <v>0</v>
      </c>
    </row>
    <row r="17" spans="1:6" x14ac:dyDescent="0.2">
      <c r="A17" s="24">
        <v>43513</v>
      </c>
      <c r="B17" s="25">
        <v>0</v>
      </c>
      <c r="C17" s="26">
        <v>0</v>
      </c>
    </row>
    <row r="18" spans="1:6" x14ac:dyDescent="0.2">
      <c r="A18" s="23">
        <v>43514</v>
      </c>
      <c r="B18" s="46">
        <v>280</v>
      </c>
      <c r="C18" s="47">
        <v>1350</v>
      </c>
    </row>
    <row r="19" spans="1:6" x14ac:dyDescent="0.2">
      <c r="A19" s="23">
        <v>43515</v>
      </c>
      <c r="B19" s="46">
        <v>280</v>
      </c>
      <c r="C19" s="47">
        <v>1350</v>
      </c>
    </row>
    <row r="20" spans="1:6" x14ac:dyDescent="0.2">
      <c r="A20" s="23">
        <v>43516</v>
      </c>
      <c r="B20" s="46">
        <v>280</v>
      </c>
      <c r="C20" s="47">
        <v>1350</v>
      </c>
    </row>
    <row r="21" spans="1:6" x14ac:dyDescent="0.2">
      <c r="A21" s="23">
        <v>43517</v>
      </c>
      <c r="B21" s="46">
        <v>280</v>
      </c>
      <c r="C21" s="47">
        <v>1350</v>
      </c>
      <c r="E21" s="29" t="s">
        <v>148</v>
      </c>
      <c r="F21" s="30">
        <f>SUM(B18:B22)</f>
        <v>1400</v>
      </c>
    </row>
    <row r="22" spans="1:6" x14ac:dyDescent="0.2">
      <c r="A22" s="23">
        <v>43518</v>
      </c>
      <c r="B22" s="46">
        <v>280</v>
      </c>
      <c r="C22" s="47">
        <v>1350</v>
      </c>
      <c r="E22" s="29" t="s">
        <v>149</v>
      </c>
      <c r="F22" s="80">
        <f>F21/5</f>
        <v>280</v>
      </c>
    </row>
    <row r="23" spans="1:6" x14ac:dyDescent="0.2">
      <c r="A23" s="24">
        <v>43519</v>
      </c>
      <c r="B23" s="25">
        <v>0</v>
      </c>
      <c r="C23" s="26">
        <v>0</v>
      </c>
    </row>
    <row r="24" spans="1:6" x14ac:dyDescent="0.2">
      <c r="A24" s="24">
        <v>43520</v>
      </c>
      <c r="B24" s="27">
        <v>0</v>
      </c>
      <c r="C24" s="26">
        <v>0</v>
      </c>
    </row>
    <row r="25" spans="1:6" x14ac:dyDescent="0.2">
      <c r="A25" s="23">
        <v>43521</v>
      </c>
      <c r="B25" s="48">
        <v>280</v>
      </c>
      <c r="C25" s="47">
        <v>1350</v>
      </c>
    </row>
    <row r="26" spans="1:6" x14ac:dyDescent="0.2">
      <c r="A26" s="23">
        <v>43522</v>
      </c>
      <c r="B26" s="48">
        <v>280</v>
      </c>
      <c r="C26" s="47">
        <v>1350</v>
      </c>
    </row>
    <row r="27" spans="1:6" x14ac:dyDescent="0.2">
      <c r="A27" s="23">
        <v>43523</v>
      </c>
      <c r="B27" s="48">
        <v>280</v>
      </c>
      <c r="C27" s="47">
        <v>1350</v>
      </c>
      <c r="E27" s="29" t="s">
        <v>148</v>
      </c>
      <c r="F27" s="30">
        <f>SUM(B25:B28)</f>
        <v>1120</v>
      </c>
    </row>
    <row r="28" spans="1:6" x14ac:dyDescent="0.2">
      <c r="A28" s="23">
        <v>43524</v>
      </c>
      <c r="B28" s="48">
        <v>280</v>
      </c>
      <c r="C28" s="47">
        <v>1350</v>
      </c>
      <c r="E28" s="29" t="s">
        <v>149</v>
      </c>
      <c r="F28" s="32">
        <f>F27/4</f>
        <v>280</v>
      </c>
    </row>
    <row r="29" spans="1:6" x14ac:dyDescent="0.2">
      <c r="A29" s="23"/>
      <c r="B29" s="48"/>
      <c r="C29" s="47"/>
    </row>
    <row r="30" spans="1:6" x14ac:dyDescent="0.2">
      <c r="A30" s="23"/>
      <c r="B30" s="48"/>
      <c r="C30" s="47"/>
      <c r="E30" s="55"/>
      <c r="F30" s="56"/>
    </row>
    <row r="31" spans="1:6" x14ac:dyDescent="0.2">
      <c r="A31" s="23"/>
      <c r="B31" s="48"/>
      <c r="C31" s="47"/>
      <c r="E31" s="55"/>
      <c r="F31" s="56"/>
    </row>
    <row r="33" spans="1:3" x14ac:dyDescent="0.2">
      <c r="A33" s="23">
        <v>43497</v>
      </c>
      <c r="B33" s="49">
        <v>680</v>
      </c>
      <c r="C33" s="49">
        <f>C1</f>
        <v>1350</v>
      </c>
    </row>
    <row r="34" spans="1:3" x14ac:dyDescent="0.2">
      <c r="A34" s="24">
        <v>43498</v>
      </c>
      <c r="B34" s="28">
        <v>680</v>
      </c>
      <c r="C34" s="28">
        <f t="shared" ref="C34:C40" si="0">C2+C33</f>
        <v>1350</v>
      </c>
    </row>
    <row r="35" spans="1:3" x14ac:dyDescent="0.2">
      <c r="A35" s="24">
        <v>43499</v>
      </c>
      <c r="B35" s="28">
        <v>680</v>
      </c>
      <c r="C35" s="28">
        <f t="shared" si="0"/>
        <v>1350</v>
      </c>
    </row>
    <row r="36" spans="1:3" x14ac:dyDescent="0.2">
      <c r="A36" s="23">
        <v>43500</v>
      </c>
      <c r="B36" s="49">
        <f t="shared" ref="B36:B60" si="1">B4+B35</f>
        <v>960</v>
      </c>
      <c r="C36" s="49">
        <f t="shared" si="0"/>
        <v>2700</v>
      </c>
    </row>
    <row r="37" spans="1:3" x14ac:dyDescent="0.2">
      <c r="A37" s="23">
        <v>43501</v>
      </c>
      <c r="B37" s="49">
        <f t="shared" si="1"/>
        <v>1240</v>
      </c>
      <c r="C37" s="49">
        <f t="shared" si="0"/>
        <v>4050</v>
      </c>
    </row>
    <row r="38" spans="1:3" x14ac:dyDescent="0.2">
      <c r="A38" s="23">
        <v>43502</v>
      </c>
      <c r="B38" s="49">
        <f t="shared" si="1"/>
        <v>1520</v>
      </c>
      <c r="C38" s="49">
        <f t="shared" si="0"/>
        <v>5400</v>
      </c>
    </row>
    <row r="39" spans="1:3" x14ac:dyDescent="0.2">
      <c r="A39" s="23">
        <v>43503</v>
      </c>
      <c r="B39" s="49">
        <f t="shared" si="1"/>
        <v>1800</v>
      </c>
      <c r="C39" s="49">
        <f t="shared" si="0"/>
        <v>6750</v>
      </c>
    </row>
    <row r="40" spans="1:3" x14ac:dyDescent="0.2">
      <c r="A40" s="23">
        <v>43504</v>
      </c>
      <c r="B40" s="49">
        <f t="shared" si="1"/>
        <v>2080</v>
      </c>
      <c r="C40" s="49">
        <f t="shared" si="0"/>
        <v>8100</v>
      </c>
    </row>
    <row r="41" spans="1:3" x14ac:dyDescent="0.2">
      <c r="A41" s="24">
        <v>43505</v>
      </c>
      <c r="B41" s="28">
        <f t="shared" si="1"/>
        <v>2080</v>
      </c>
      <c r="C41" s="28">
        <v>8100</v>
      </c>
    </row>
    <row r="42" spans="1:3" x14ac:dyDescent="0.2">
      <c r="A42" s="24">
        <v>43506</v>
      </c>
      <c r="B42" s="28">
        <f t="shared" si="1"/>
        <v>2080</v>
      </c>
      <c r="C42" s="28">
        <v>8100</v>
      </c>
    </row>
    <row r="43" spans="1:3" x14ac:dyDescent="0.2">
      <c r="A43" s="23">
        <v>43507</v>
      </c>
      <c r="B43" s="49">
        <f t="shared" si="1"/>
        <v>2360</v>
      </c>
      <c r="C43" s="49">
        <f>C11+C42</f>
        <v>9450</v>
      </c>
    </row>
    <row r="44" spans="1:3" x14ac:dyDescent="0.2">
      <c r="A44" s="23">
        <v>43508</v>
      </c>
      <c r="B44" s="49">
        <f t="shared" si="1"/>
        <v>2640</v>
      </c>
      <c r="C44" s="49">
        <f>C12+C43</f>
        <v>10800</v>
      </c>
    </row>
    <row r="45" spans="1:3" x14ac:dyDescent="0.2">
      <c r="A45" s="23">
        <v>43509</v>
      </c>
      <c r="B45" s="49">
        <f t="shared" si="1"/>
        <v>2920</v>
      </c>
      <c r="C45" s="49">
        <f>C13+C44</f>
        <v>12150</v>
      </c>
    </row>
    <row r="46" spans="1:3" x14ac:dyDescent="0.2">
      <c r="A46" s="23">
        <v>43510</v>
      </c>
      <c r="B46" s="49">
        <f t="shared" si="1"/>
        <v>3200</v>
      </c>
      <c r="C46" s="49">
        <f>C14+C45</f>
        <v>13500</v>
      </c>
    </row>
    <row r="47" spans="1:3" x14ac:dyDescent="0.2">
      <c r="A47" s="23">
        <v>43511</v>
      </c>
      <c r="B47" s="49">
        <f t="shared" si="1"/>
        <v>3480</v>
      </c>
      <c r="C47" s="49">
        <f>C15+C46</f>
        <v>14850</v>
      </c>
    </row>
    <row r="48" spans="1:3" x14ac:dyDescent="0.2">
      <c r="A48" s="24">
        <v>43512</v>
      </c>
      <c r="B48" s="28">
        <f t="shared" si="1"/>
        <v>3480</v>
      </c>
      <c r="C48" s="28">
        <v>14850</v>
      </c>
    </row>
    <row r="49" spans="1:4" x14ac:dyDescent="0.2">
      <c r="A49" s="24">
        <v>43513</v>
      </c>
      <c r="B49" s="28">
        <f t="shared" si="1"/>
        <v>3480</v>
      </c>
      <c r="C49" s="28">
        <v>14850</v>
      </c>
    </row>
    <row r="50" spans="1:4" x14ac:dyDescent="0.2">
      <c r="A50" s="23">
        <v>43514</v>
      </c>
      <c r="B50" s="49">
        <f t="shared" si="1"/>
        <v>3760</v>
      </c>
      <c r="C50" s="49">
        <f>C18+C49</f>
        <v>16200</v>
      </c>
    </row>
    <row r="51" spans="1:4" x14ac:dyDescent="0.2">
      <c r="A51" s="23">
        <v>43515</v>
      </c>
      <c r="B51" s="49">
        <f t="shared" si="1"/>
        <v>4040</v>
      </c>
      <c r="C51" s="49">
        <f>C19+C50</f>
        <v>17550</v>
      </c>
    </row>
    <row r="52" spans="1:4" x14ac:dyDescent="0.2">
      <c r="A52" s="23">
        <v>43516</v>
      </c>
      <c r="B52" s="49">
        <f t="shared" si="1"/>
        <v>4320</v>
      </c>
      <c r="C52" s="49">
        <f>C20+C51</f>
        <v>18900</v>
      </c>
    </row>
    <row r="53" spans="1:4" x14ac:dyDescent="0.2">
      <c r="A53" s="23">
        <v>43517</v>
      </c>
      <c r="B53" s="49">
        <f t="shared" si="1"/>
        <v>4600</v>
      </c>
      <c r="C53" s="49">
        <f>C21+C52</f>
        <v>20250</v>
      </c>
    </row>
    <row r="54" spans="1:4" x14ac:dyDescent="0.2">
      <c r="A54" s="23">
        <v>43518</v>
      </c>
      <c r="B54" s="49">
        <f t="shared" si="1"/>
        <v>4880</v>
      </c>
      <c r="C54" s="49">
        <f>C22+C53</f>
        <v>21600</v>
      </c>
    </row>
    <row r="55" spans="1:4" x14ac:dyDescent="0.2">
      <c r="A55" s="24">
        <v>43519</v>
      </c>
      <c r="B55" s="28">
        <f t="shared" si="1"/>
        <v>4880</v>
      </c>
      <c r="C55" s="28">
        <v>21600</v>
      </c>
    </row>
    <row r="56" spans="1:4" x14ac:dyDescent="0.2">
      <c r="A56" s="24">
        <v>43520</v>
      </c>
      <c r="B56" s="28">
        <f t="shared" si="1"/>
        <v>4880</v>
      </c>
      <c r="C56" s="28">
        <v>21600</v>
      </c>
    </row>
    <row r="57" spans="1:4" x14ac:dyDescent="0.2">
      <c r="A57" s="23">
        <v>43521</v>
      </c>
      <c r="B57" s="49">
        <f t="shared" si="1"/>
        <v>5160</v>
      </c>
      <c r="C57" s="49">
        <f>C25+C56</f>
        <v>22950</v>
      </c>
    </row>
    <row r="58" spans="1:4" x14ac:dyDescent="0.2">
      <c r="A58" s="23">
        <v>43522</v>
      </c>
      <c r="B58" s="49">
        <f t="shared" si="1"/>
        <v>5440</v>
      </c>
      <c r="C58" s="49">
        <f>C26+C57</f>
        <v>24300</v>
      </c>
    </row>
    <row r="59" spans="1:4" x14ac:dyDescent="0.2">
      <c r="A59" s="23">
        <v>43523</v>
      </c>
      <c r="B59" s="49">
        <f t="shared" si="1"/>
        <v>5720</v>
      </c>
      <c r="C59" s="49">
        <f>C27+C58</f>
        <v>25650</v>
      </c>
    </row>
    <row r="60" spans="1:4" x14ac:dyDescent="0.2">
      <c r="A60" s="23">
        <v>43524</v>
      </c>
      <c r="B60" s="49">
        <f t="shared" si="1"/>
        <v>6000</v>
      </c>
      <c r="C60" s="49">
        <f>C28+C59</f>
        <v>27000</v>
      </c>
      <c r="D60" s="81">
        <f>SUM(B60-C60)</f>
        <v>-21000</v>
      </c>
    </row>
    <row r="61" spans="1:4" x14ac:dyDescent="0.2">
      <c r="A61" s="23"/>
      <c r="B61" s="49"/>
      <c r="C61" s="49"/>
    </row>
    <row r="62" spans="1:4" x14ac:dyDescent="0.2">
      <c r="A62" s="23"/>
      <c r="B62" s="49"/>
      <c r="C62" s="49"/>
    </row>
    <row r="63" spans="1:4" x14ac:dyDescent="0.2">
      <c r="A63" s="23"/>
      <c r="B63" s="49"/>
      <c r="C63" s="49"/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3">
        <v>43497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71">
        <f>AA70+AB70</f>
        <v>0</v>
      </c>
      <c r="AD70" s="72">
        <f>SUM(AC70)</f>
        <v>0</v>
      </c>
    </row>
    <row r="71" spans="1:30" x14ac:dyDescent="0.2">
      <c r="A71" s="24">
        <v>43498</v>
      </c>
      <c r="B71" s="76"/>
      <c r="C71" s="77"/>
      <c r="D71" s="78"/>
      <c r="E71" s="77"/>
      <c r="F71" s="76"/>
      <c r="G71" s="77"/>
      <c r="H71" s="78"/>
      <c r="I71" s="4"/>
      <c r="J71" s="76"/>
      <c r="K71" s="77"/>
      <c r="L71" s="78"/>
      <c r="M71" s="4"/>
      <c r="N71" s="76"/>
      <c r="O71" s="77"/>
      <c r="P71" s="78"/>
      <c r="Q71" s="4"/>
      <c r="R71" s="76"/>
      <c r="S71" s="77"/>
      <c r="T71" s="78"/>
      <c r="U71" s="4"/>
      <c r="V71" s="76"/>
      <c r="W71" s="77"/>
      <c r="X71" s="78"/>
      <c r="Y71" s="77"/>
      <c r="AA71" s="34">
        <f t="shared" ref="AA71:AB98" si="2">B71+D71+F71+H71+J71+L71+N71+P71+R71+T71+V71+X71</f>
        <v>0</v>
      </c>
      <c r="AB71" s="39">
        <f t="shared" si="2"/>
        <v>0</v>
      </c>
      <c r="AC71" s="51">
        <f t="shared" ref="AC71:AC98" si="3">AA71+AB71</f>
        <v>0</v>
      </c>
    </row>
    <row r="72" spans="1:30" x14ac:dyDescent="0.2">
      <c r="A72" s="24">
        <v>43499</v>
      </c>
      <c r="B72" s="76"/>
      <c r="C72" s="77"/>
      <c r="D72" s="78"/>
      <c r="E72" s="77"/>
      <c r="F72" s="76"/>
      <c r="G72" s="77"/>
      <c r="H72" s="78"/>
      <c r="I72" s="4"/>
      <c r="J72" s="76"/>
      <c r="K72" s="77"/>
      <c r="L72" s="78"/>
      <c r="M72" s="4"/>
      <c r="N72" s="76"/>
      <c r="O72" s="77"/>
      <c r="P72" s="78"/>
      <c r="Q72" s="4"/>
      <c r="R72" s="76"/>
      <c r="S72" s="77"/>
      <c r="T72" s="78"/>
      <c r="U72" s="4"/>
      <c r="V72" s="76"/>
      <c r="W72" s="77"/>
      <c r="X72" s="78"/>
      <c r="Y72" s="77"/>
      <c r="AA72" s="34">
        <f t="shared" si="2"/>
        <v>0</v>
      </c>
      <c r="AB72" s="39">
        <f t="shared" si="2"/>
        <v>0</v>
      </c>
      <c r="AC72" s="51">
        <f t="shared" si="3"/>
        <v>0</v>
      </c>
    </row>
    <row r="73" spans="1:30" x14ac:dyDescent="0.2">
      <c r="A73" s="23">
        <v>43500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</row>
    <row r="74" spans="1:30" x14ac:dyDescent="0.2">
      <c r="A74" s="23">
        <v>43501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64">
        <f t="shared" si="3"/>
        <v>0</v>
      </c>
    </row>
    <row r="75" spans="1:30" x14ac:dyDescent="0.2">
      <c r="A75" s="23">
        <v>43502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</row>
    <row r="76" spans="1:30" x14ac:dyDescent="0.2">
      <c r="A76" s="23">
        <v>43503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</row>
    <row r="77" spans="1:30" x14ac:dyDescent="0.2">
      <c r="A77" s="23">
        <v>43504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71">
        <f t="shared" si="3"/>
        <v>0</v>
      </c>
      <c r="AD77" s="72">
        <f>SUM(AC73:AC77)</f>
        <v>0</v>
      </c>
    </row>
    <row r="78" spans="1:30" x14ac:dyDescent="0.2">
      <c r="A78" s="24">
        <v>43505</v>
      </c>
      <c r="B78" s="76"/>
      <c r="C78" s="77"/>
      <c r="D78" s="78"/>
      <c r="E78" s="77"/>
      <c r="F78" s="76"/>
      <c r="G78" s="77"/>
      <c r="H78" s="78"/>
      <c r="I78" s="4"/>
      <c r="J78" s="76"/>
      <c r="K78" s="77"/>
      <c r="L78" s="78"/>
      <c r="M78" s="4"/>
      <c r="N78" s="76"/>
      <c r="O78" s="77"/>
      <c r="P78" s="78"/>
      <c r="Q78" s="4"/>
      <c r="R78" s="76"/>
      <c r="S78" s="77"/>
      <c r="T78" s="78"/>
      <c r="U78" s="4"/>
      <c r="V78" s="76"/>
      <c r="W78" s="77"/>
      <c r="X78" s="78"/>
      <c r="Y78" s="77"/>
      <c r="AA78" s="34">
        <f t="shared" si="2"/>
        <v>0</v>
      </c>
      <c r="AB78" s="39">
        <f t="shared" si="2"/>
        <v>0</v>
      </c>
      <c r="AC78" s="51">
        <f t="shared" si="3"/>
        <v>0</v>
      </c>
    </row>
    <row r="79" spans="1:30" x14ac:dyDescent="0.2">
      <c r="A79" s="24">
        <v>43506</v>
      </c>
      <c r="B79" s="76"/>
      <c r="C79" s="77"/>
      <c r="D79" s="4"/>
      <c r="E79" s="77"/>
      <c r="F79" s="76"/>
      <c r="G79" s="77"/>
      <c r="H79" s="78"/>
      <c r="I79" s="4"/>
      <c r="J79" s="76"/>
      <c r="K79" s="77"/>
      <c r="L79" s="78"/>
      <c r="M79" s="4"/>
      <c r="N79" s="76"/>
      <c r="O79" s="77"/>
      <c r="P79" s="78"/>
      <c r="Q79" s="4"/>
      <c r="R79" s="76"/>
      <c r="S79" s="77"/>
      <c r="T79" s="78"/>
      <c r="U79" s="4"/>
      <c r="V79" s="76"/>
      <c r="W79" s="77"/>
      <c r="X79" s="78"/>
      <c r="Y79" s="77"/>
      <c r="AA79" s="34">
        <f t="shared" si="2"/>
        <v>0</v>
      </c>
      <c r="AB79" s="39">
        <f t="shared" si="2"/>
        <v>0</v>
      </c>
      <c r="AC79" s="51">
        <f t="shared" si="3"/>
        <v>0</v>
      </c>
    </row>
    <row r="80" spans="1:30" x14ac:dyDescent="0.2">
      <c r="A80" s="23">
        <v>43507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</row>
    <row r="81" spans="1:30" x14ac:dyDescent="0.2">
      <c r="A81" s="23">
        <v>43508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64">
        <f t="shared" si="3"/>
        <v>0</v>
      </c>
    </row>
    <row r="82" spans="1:30" x14ac:dyDescent="0.2">
      <c r="A82" s="23">
        <v>43509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</row>
    <row r="83" spans="1:30" x14ac:dyDescent="0.2">
      <c r="A83" s="23">
        <v>43510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</row>
    <row r="84" spans="1:30" x14ac:dyDescent="0.2">
      <c r="A84" s="23">
        <v>43511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71">
        <f t="shared" si="3"/>
        <v>0</v>
      </c>
      <c r="AD84" s="72">
        <f>SUM(AC80:AC84)</f>
        <v>0</v>
      </c>
    </row>
    <row r="85" spans="1:30" x14ac:dyDescent="0.2">
      <c r="A85" s="24">
        <v>43512</v>
      </c>
      <c r="B85" s="76"/>
      <c r="C85" s="77"/>
      <c r="D85" s="78"/>
      <c r="E85" s="77"/>
      <c r="F85" s="76"/>
      <c r="G85" s="77"/>
      <c r="H85" s="78"/>
      <c r="I85" s="4"/>
      <c r="J85" s="76"/>
      <c r="K85" s="77"/>
      <c r="L85" s="78"/>
      <c r="M85" s="4"/>
      <c r="N85" s="76"/>
      <c r="O85" s="77"/>
      <c r="P85" s="78"/>
      <c r="Q85" s="4"/>
      <c r="R85" s="76"/>
      <c r="S85" s="77"/>
      <c r="T85" s="78"/>
      <c r="U85" s="4"/>
      <c r="V85" s="76"/>
      <c r="W85" s="77"/>
      <c r="X85" s="78"/>
      <c r="Y85" s="77"/>
      <c r="AA85" s="34">
        <f t="shared" si="2"/>
        <v>0</v>
      </c>
      <c r="AB85" s="39">
        <f t="shared" si="2"/>
        <v>0</v>
      </c>
      <c r="AC85" s="51">
        <f t="shared" si="3"/>
        <v>0</v>
      </c>
    </row>
    <row r="86" spans="1:30" x14ac:dyDescent="0.2">
      <c r="A86" s="24">
        <v>43513</v>
      </c>
      <c r="B86" s="76"/>
      <c r="C86" s="77"/>
      <c r="D86" s="78"/>
      <c r="E86" s="77"/>
      <c r="F86" s="76"/>
      <c r="G86" s="77"/>
      <c r="H86" s="78"/>
      <c r="I86" s="4"/>
      <c r="J86" s="76"/>
      <c r="K86" s="77"/>
      <c r="L86" s="78"/>
      <c r="M86" s="4"/>
      <c r="N86" s="76"/>
      <c r="O86" s="77"/>
      <c r="P86" s="78"/>
      <c r="Q86" s="4"/>
      <c r="R86" s="76"/>
      <c r="S86" s="77"/>
      <c r="T86" s="78"/>
      <c r="U86" s="4"/>
      <c r="V86" s="76"/>
      <c r="W86" s="77"/>
      <c r="X86" s="78"/>
      <c r="Y86" s="77"/>
      <c r="AA86" s="34">
        <f t="shared" si="2"/>
        <v>0</v>
      </c>
      <c r="AB86" s="39">
        <f t="shared" si="2"/>
        <v>0</v>
      </c>
      <c r="AC86" s="51">
        <f t="shared" si="3"/>
        <v>0</v>
      </c>
    </row>
    <row r="87" spans="1:30" x14ac:dyDescent="0.2">
      <c r="A87" s="23">
        <v>43514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</row>
    <row r="88" spans="1:30" x14ac:dyDescent="0.2">
      <c r="A88" s="23">
        <v>43515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64">
        <f t="shared" si="3"/>
        <v>0</v>
      </c>
    </row>
    <row r="89" spans="1:30" x14ac:dyDescent="0.2">
      <c r="A89" s="23">
        <v>43516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</row>
    <row r="90" spans="1:30" x14ac:dyDescent="0.2">
      <c r="A90" s="23">
        <v>43517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</row>
    <row r="91" spans="1:30" x14ac:dyDescent="0.2">
      <c r="A91" s="23">
        <v>43518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71">
        <f t="shared" si="3"/>
        <v>0</v>
      </c>
      <c r="AD91" s="72">
        <f>SUM(AC87:AC91)</f>
        <v>0</v>
      </c>
    </row>
    <row r="92" spans="1:30" x14ac:dyDescent="0.2">
      <c r="A92" s="24">
        <v>43519</v>
      </c>
      <c r="B92" s="76"/>
      <c r="C92" s="77"/>
      <c r="D92" s="78"/>
      <c r="E92" s="77"/>
      <c r="F92" s="76"/>
      <c r="G92" s="77"/>
      <c r="H92" s="78"/>
      <c r="I92" s="4"/>
      <c r="J92" s="76"/>
      <c r="K92" s="77"/>
      <c r="L92" s="78"/>
      <c r="M92" s="4"/>
      <c r="N92" s="76"/>
      <c r="O92" s="77"/>
      <c r="P92" s="78"/>
      <c r="Q92" s="4"/>
      <c r="R92" s="76"/>
      <c r="S92" s="77"/>
      <c r="T92" s="78"/>
      <c r="U92" s="4"/>
      <c r="V92" s="76"/>
      <c r="W92" s="77"/>
      <c r="X92" s="78"/>
      <c r="Y92" s="77"/>
      <c r="AA92" s="34">
        <f t="shared" si="2"/>
        <v>0</v>
      </c>
      <c r="AB92" s="39">
        <f t="shared" si="2"/>
        <v>0</v>
      </c>
      <c r="AC92" s="51">
        <f t="shared" si="3"/>
        <v>0</v>
      </c>
    </row>
    <row r="93" spans="1:30" x14ac:dyDescent="0.2">
      <c r="A93" s="24">
        <v>43520</v>
      </c>
      <c r="B93" s="76"/>
      <c r="C93" s="77"/>
      <c r="D93" s="78"/>
      <c r="E93" s="77"/>
      <c r="F93" s="76"/>
      <c r="G93" s="77"/>
      <c r="H93" s="78"/>
      <c r="I93" s="4"/>
      <c r="J93" s="76"/>
      <c r="K93" s="77"/>
      <c r="L93" s="78"/>
      <c r="M93" s="4"/>
      <c r="N93" s="76"/>
      <c r="O93" s="77"/>
      <c r="P93" s="78"/>
      <c r="Q93" s="4"/>
      <c r="R93" s="76"/>
      <c r="S93" s="77"/>
      <c r="T93" s="78"/>
      <c r="U93" s="4"/>
      <c r="V93" s="76"/>
      <c r="W93" s="77"/>
      <c r="X93" s="78"/>
      <c r="Y93" s="77"/>
      <c r="AA93" s="34">
        <f t="shared" si="2"/>
        <v>0</v>
      </c>
      <c r="AB93" s="39">
        <f t="shared" si="2"/>
        <v>0</v>
      </c>
      <c r="AC93" s="51">
        <f t="shared" si="3"/>
        <v>0</v>
      </c>
    </row>
    <row r="94" spans="1:30" x14ac:dyDescent="0.2">
      <c r="A94" s="23">
        <v>43521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</row>
    <row r="95" spans="1:30" x14ac:dyDescent="0.2">
      <c r="A95" s="23">
        <v>43522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64">
        <f t="shared" si="3"/>
        <v>0</v>
      </c>
    </row>
    <row r="96" spans="1:30" x14ac:dyDescent="0.2">
      <c r="A96" s="23">
        <v>43523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</row>
    <row r="97" spans="1:30" x14ac:dyDescent="0.2">
      <c r="A97" s="23">
        <v>43524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</row>
    <row r="98" spans="1:30" x14ac:dyDescent="0.2">
      <c r="A98" s="23">
        <v>43525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71">
        <f t="shared" si="3"/>
        <v>0</v>
      </c>
      <c r="AD98" s="72">
        <f>SUM(AC94:AC98)</f>
        <v>0</v>
      </c>
    </row>
    <row r="99" spans="1:30" x14ac:dyDescent="0.2">
      <c r="A99" s="24">
        <v>43526</v>
      </c>
      <c r="B99" s="76"/>
      <c r="C99" s="77"/>
      <c r="D99" s="78"/>
      <c r="E99" s="4"/>
      <c r="F99" s="76"/>
      <c r="G99" s="77"/>
      <c r="H99" s="78"/>
      <c r="I99" s="4"/>
      <c r="J99" s="76"/>
      <c r="K99" s="77"/>
      <c r="L99" s="78"/>
      <c r="M99" s="4"/>
      <c r="N99" s="76"/>
      <c r="O99" s="77"/>
      <c r="P99" s="78"/>
      <c r="Q99" s="4"/>
      <c r="R99" s="76"/>
      <c r="S99" s="77"/>
      <c r="T99" s="78"/>
      <c r="U99" s="4"/>
      <c r="V99" s="76"/>
      <c r="W99" s="77"/>
      <c r="X99" s="78"/>
      <c r="Y99" s="77"/>
      <c r="AA99" s="34">
        <f>B99+D99+F99+H99+J99+L99+N99+P99+R99+T99+V99+X99</f>
        <v>0</v>
      </c>
      <c r="AB99" s="39">
        <f>C99+E99+G99+I99+K99+M99+O99+Q99+S99+U99+W99+Y99</f>
        <v>0</v>
      </c>
      <c r="AC99" s="51">
        <f>AA99+AB99</f>
        <v>0</v>
      </c>
    </row>
    <row r="100" spans="1:30" ht="15" thickBot="1" x14ac:dyDescent="0.25">
      <c r="A100" s="24">
        <v>43527</v>
      </c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8"/>
      <c r="Y100" s="77"/>
      <c r="AA100" s="52">
        <f>B100+D100+F100+H100+J100+L100+N100+P100+R100+T100+V100+X100</f>
        <v>0</v>
      </c>
      <c r="AB100" s="53">
        <f>C100+E100+G100+I100+K100+M100+O100+Q100+S100+U100+W100+Y100</f>
        <v>0</v>
      </c>
      <c r="AC100" s="54">
        <f>AA100+AB100</f>
        <v>0</v>
      </c>
    </row>
    <row r="101" spans="1:30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2666A-67A6-4D8A-ABF9-5E739754D2C7}">
  <sheetPr codeName="Foglio11"/>
  <dimension ref="A1:AD106"/>
  <sheetViews>
    <sheetView topLeftCell="A28" zoomScale="85" zoomScaleNormal="85" workbookViewId="0">
      <selection activeCell="AD98" sqref="AD98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23">
        <v>43525</v>
      </c>
      <c r="B1" s="46">
        <v>266.66666666666669</v>
      </c>
      <c r="C1" s="47">
        <v>1350</v>
      </c>
      <c r="E1" s="55"/>
      <c r="F1" s="56"/>
    </row>
    <row r="2" spans="1:6" x14ac:dyDescent="0.2">
      <c r="A2" s="24">
        <v>43526</v>
      </c>
      <c r="B2" s="25">
        <v>0</v>
      </c>
      <c r="C2" s="26">
        <v>0</v>
      </c>
      <c r="E2" s="55"/>
      <c r="F2" s="56"/>
    </row>
    <row r="3" spans="1:6" x14ac:dyDescent="0.2">
      <c r="A3" s="24">
        <v>43527</v>
      </c>
      <c r="B3" s="25">
        <v>0</v>
      </c>
      <c r="C3" s="26">
        <v>0</v>
      </c>
    </row>
    <row r="4" spans="1:6" x14ac:dyDescent="0.2">
      <c r="A4" s="23">
        <v>43528</v>
      </c>
      <c r="B4" s="46">
        <v>266.66666666666669</v>
      </c>
      <c r="C4" s="47">
        <v>1350</v>
      </c>
    </row>
    <row r="5" spans="1:6" x14ac:dyDescent="0.2">
      <c r="A5" s="23">
        <v>43529</v>
      </c>
      <c r="B5" s="46">
        <v>266.66666666666669</v>
      </c>
      <c r="C5" s="47">
        <v>1350</v>
      </c>
    </row>
    <row r="6" spans="1:6" x14ac:dyDescent="0.2">
      <c r="A6" s="23">
        <v>43530</v>
      </c>
      <c r="B6" s="46">
        <v>266.66666666666669</v>
      </c>
      <c r="C6" s="47">
        <v>1350</v>
      </c>
    </row>
    <row r="7" spans="1:6" x14ac:dyDescent="0.2">
      <c r="A7" s="23">
        <v>43531</v>
      </c>
      <c r="B7" s="46">
        <v>266.66666666666669</v>
      </c>
      <c r="C7" s="47">
        <v>1350</v>
      </c>
      <c r="E7" s="29" t="s">
        <v>148</v>
      </c>
      <c r="F7" s="30">
        <f>SUM(B1:B8)</f>
        <v>1600.0000000000002</v>
      </c>
    </row>
    <row r="8" spans="1:6" x14ac:dyDescent="0.2">
      <c r="A8" s="23">
        <v>43532</v>
      </c>
      <c r="B8" s="46">
        <v>266.66666666666669</v>
      </c>
      <c r="C8" s="47">
        <v>1350</v>
      </c>
      <c r="E8" s="29" t="s">
        <v>149</v>
      </c>
      <c r="F8" s="80">
        <f>F7/6</f>
        <v>266.66666666666669</v>
      </c>
    </row>
    <row r="9" spans="1:6" x14ac:dyDescent="0.2">
      <c r="A9" s="24">
        <v>43533</v>
      </c>
      <c r="B9" s="25">
        <v>0</v>
      </c>
      <c r="C9" s="26">
        <v>0</v>
      </c>
    </row>
    <row r="10" spans="1:6" x14ac:dyDescent="0.2">
      <c r="A10" s="24">
        <v>43534</v>
      </c>
      <c r="B10" s="25">
        <v>0</v>
      </c>
      <c r="C10" s="26">
        <v>0</v>
      </c>
    </row>
    <row r="11" spans="1:6" x14ac:dyDescent="0.2">
      <c r="A11" s="23">
        <v>43535</v>
      </c>
      <c r="B11" s="46">
        <v>266.66666666666669</v>
      </c>
      <c r="C11" s="47">
        <v>1350</v>
      </c>
    </row>
    <row r="12" spans="1:6" x14ac:dyDescent="0.2">
      <c r="A12" s="23">
        <v>43536</v>
      </c>
      <c r="B12" s="46">
        <v>266.66666666666669</v>
      </c>
      <c r="C12" s="47">
        <v>1350</v>
      </c>
    </row>
    <row r="13" spans="1:6" x14ac:dyDescent="0.2">
      <c r="A13" s="23">
        <v>43537</v>
      </c>
      <c r="B13" s="46">
        <v>266.66666666666669</v>
      </c>
      <c r="C13" s="47">
        <v>1350</v>
      </c>
    </row>
    <row r="14" spans="1:6" x14ac:dyDescent="0.2">
      <c r="A14" s="23">
        <v>43538</v>
      </c>
      <c r="B14" s="46">
        <v>266.66666666666669</v>
      </c>
      <c r="C14" s="47">
        <v>1350</v>
      </c>
      <c r="E14" s="29" t="s">
        <v>148</v>
      </c>
      <c r="F14" s="30">
        <f>SUM(B11:B15)</f>
        <v>1333.3333333333335</v>
      </c>
    </row>
    <row r="15" spans="1:6" x14ac:dyDescent="0.2">
      <c r="A15" s="23">
        <v>43539</v>
      </c>
      <c r="B15" s="46">
        <v>266.66666666666669</v>
      </c>
      <c r="C15" s="47">
        <v>1350</v>
      </c>
      <c r="E15" s="29" t="s">
        <v>149</v>
      </c>
      <c r="F15" s="32">
        <f>F14/5</f>
        <v>266.66666666666669</v>
      </c>
    </row>
    <row r="16" spans="1:6" x14ac:dyDescent="0.2">
      <c r="A16" s="24">
        <v>43540</v>
      </c>
      <c r="B16" s="25">
        <v>0</v>
      </c>
      <c r="C16" s="26">
        <v>0</v>
      </c>
    </row>
    <row r="17" spans="1:6" x14ac:dyDescent="0.2">
      <c r="A17" s="24">
        <v>43541</v>
      </c>
      <c r="B17" s="25">
        <v>0</v>
      </c>
      <c r="C17" s="26">
        <v>0</v>
      </c>
    </row>
    <row r="18" spans="1:6" x14ac:dyDescent="0.2">
      <c r="A18" s="23">
        <v>43542</v>
      </c>
      <c r="B18" s="46">
        <v>266.66666666666669</v>
      </c>
      <c r="C18" s="47">
        <v>1350</v>
      </c>
    </row>
    <row r="19" spans="1:6" x14ac:dyDescent="0.2">
      <c r="A19" s="23">
        <v>43543</v>
      </c>
      <c r="B19" s="46">
        <v>266.66666666666669</v>
      </c>
      <c r="C19" s="47">
        <v>1350</v>
      </c>
    </row>
    <row r="20" spans="1:6" x14ac:dyDescent="0.2">
      <c r="A20" s="23">
        <v>43544</v>
      </c>
      <c r="B20" s="46">
        <v>266.66666666666669</v>
      </c>
      <c r="C20" s="47">
        <v>1350</v>
      </c>
    </row>
    <row r="21" spans="1:6" x14ac:dyDescent="0.2">
      <c r="A21" s="23">
        <v>43545</v>
      </c>
      <c r="B21" s="46">
        <v>266.66666666666669</v>
      </c>
      <c r="C21" s="47">
        <v>1350</v>
      </c>
      <c r="E21" s="29" t="s">
        <v>148</v>
      </c>
      <c r="F21" s="30">
        <f>SUM(B18:B22)</f>
        <v>1333.3333333333335</v>
      </c>
    </row>
    <row r="22" spans="1:6" x14ac:dyDescent="0.2">
      <c r="A22" s="23">
        <v>43546</v>
      </c>
      <c r="B22" s="46">
        <v>266.66666666666669</v>
      </c>
      <c r="C22" s="47">
        <v>1350</v>
      </c>
      <c r="E22" s="29" t="s">
        <v>149</v>
      </c>
      <c r="F22" s="32">
        <f>F21/5</f>
        <v>266.66666666666669</v>
      </c>
    </row>
    <row r="23" spans="1:6" x14ac:dyDescent="0.2">
      <c r="A23" s="24">
        <v>43547</v>
      </c>
      <c r="B23" s="25">
        <v>0</v>
      </c>
      <c r="C23" s="26">
        <v>0</v>
      </c>
    </row>
    <row r="24" spans="1:6" x14ac:dyDescent="0.2">
      <c r="A24" s="24">
        <v>43548</v>
      </c>
      <c r="B24" s="27">
        <v>0</v>
      </c>
      <c r="C24" s="26">
        <v>0</v>
      </c>
    </row>
    <row r="25" spans="1:6" x14ac:dyDescent="0.2">
      <c r="A25" s="23">
        <v>43549</v>
      </c>
      <c r="B25" s="48">
        <v>266.66666666666669</v>
      </c>
      <c r="C25" s="47">
        <v>1350</v>
      </c>
    </row>
    <row r="26" spans="1:6" x14ac:dyDescent="0.2">
      <c r="A26" s="23">
        <v>43550</v>
      </c>
      <c r="B26" s="48">
        <v>266.66666666666669</v>
      </c>
      <c r="C26" s="47">
        <v>1350</v>
      </c>
    </row>
    <row r="27" spans="1:6" x14ac:dyDescent="0.2">
      <c r="A27" s="23">
        <v>43551</v>
      </c>
      <c r="B27" s="48">
        <v>266.66666666666669</v>
      </c>
      <c r="C27" s="47">
        <v>1350</v>
      </c>
    </row>
    <row r="28" spans="1:6" x14ac:dyDescent="0.2">
      <c r="A28" s="23">
        <v>43552</v>
      </c>
      <c r="B28" s="48">
        <v>266.66666666666669</v>
      </c>
      <c r="C28" s="47">
        <v>1350</v>
      </c>
      <c r="E28" s="29" t="s">
        <v>148</v>
      </c>
      <c r="F28" s="30">
        <f>SUM(B25:B29)</f>
        <v>1333.3333333333335</v>
      </c>
    </row>
    <row r="29" spans="1:6" x14ac:dyDescent="0.2">
      <c r="A29" s="23">
        <v>43553</v>
      </c>
      <c r="B29" s="48">
        <v>266.66666666666669</v>
      </c>
      <c r="C29" s="47">
        <v>1350</v>
      </c>
      <c r="E29" s="29" t="s">
        <v>149</v>
      </c>
      <c r="F29" s="80">
        <f>F28/5</f>
        <v>266.66666666666669</v>
      </c>
    </row>
    <row r="30" spans="1:6" x14ac:dyDescent="0.2">
      <c r="A30" s="24">
        <v>43554</v>
      </c>
      <c r="B30" s="27">
        <v>0</v>
      </c>
      <c r="C30" s="26">
        <v>0</v>
      </c>
      <c r="E30" s="55"/>
      <c r="F30" s="56"/>
    </row>
    <row r="31" spans="1:6" x14ac:dyDescent="0.2">
      <c r="A31" s="24">
        <v>43555</v>
      </c>
      <c r="B31" s="27">
        <v>0</v>
      </c>
      <c r="C31" s="26">
        <v>0</v>
      </c>
      <c r="E31" s="55"/>
      <c r="F31" s="56"/>
    </row>
    <row r="33" spans="1:3" x14ac:dyDescent="0.2">
      <c r="A33" s="23">
        <v>43525</v>
      </c>
      <c r="B33" s="49">
        <f>B1</f>
        <v>266.66666666666669</v>
      </c>
      <c r="C33" s="49">
        <f>C1</f>
        <v>1350</v>
      </c>
    </row>
    <row r="34" spans="1:3" x14ac:dyDescent="0.2">
      <c r="A34" s="24">
        <v>43526</v>
      </c>
      <c r="B34" s="28">
        <f t="shared" ref="B34:B63" si="0">B2+B33</f>
        <v>266.66666666666669</v>
      </c>
      <c r="C34" s="28">
        <f>C2+C33</f>
        <v>1350</v>
      </c>
    </row>
    <row r="35" spans="1:3" x14ac:dyDescent="0.2">
      <c r="A35" s="24">
        <v>43527</v>
      </c>
      <c r="B35" s="28">
        <f t="shared" si="0"/>
        <v>266.66666666666669</v>
      </c>
      <c r="C35" s="28">
        <f t="shared" ref="C35:C63" si="1">C3+C34</f>
        <v>1350</v>
      </c>
    </row>
    <row r="36" spans="1:3" x14ac:dyDescent="0.2">
      <c r="A36" s="23">
        <v>43528</v>
      </c>
      <c r="B36" s="49">
        <f t="shared" si="0"/>
        <v>533.33333333333337</v>
      </c>
      <c r="C36" s="49">
        <f t="shared" si="1"/>
        <v>2700</v>
      </c>
    </row>
    <row r="37" spans="1:3" x14ac:dyDescent="0.2">
      <c r="A37" s="23">
        <v>43529</v>
      </c>
      <c r="B37" s="49">
        <f t="shared" si="0"/>
        <v>800</v>
      </c>
      <c r="C37" s="49">
        <f t="shared" si="1"/>
        <v>4050</v>
      </c>
    </row>
    <row r="38" spans="1:3" x14ac:dyDescent="0.2">
      <c r="A38" s="23">
        <v>43530</v>
      </c>
      <c r="B38" s="49">
        <f t="shared" si="0"/>
        <v>1066.6666666666667</v>
      </c>
      <c r="C38" s="49">
        <f t="shared" si="1"/>
        <v>5400</v>
      </c>
    </row>
    <row r="39" spans="1:3" x14ac:dyDescent="0.2">
      <c r="A39" s="23">
        <v>43531</v>
      </c>
      <c r="B39" s="49">
        <f t="shared" si="0"/>
        <v>1333.3333333333335</v>
      </c>
      <c r="C39" s="49">
        <f t="shared" si="1"/>
        <v>6750</v>
      </c>
    </row>
    <row r="40" spans="1:3" x14ac:dyDescent="0.2">
      <c r="A40" s="23">
        <v>43532</v>
      </c>
      <c r="B40" s="49">
        <f t="shared" si="0"/>
        <v>1600.0000000000002</v>
      </c>
      <c r="C40" s="49">
        <f t="shared" si="1"/>
        <v>8100</v>
      </c>
    </row>
    <row r="41" spans="1:3" x14ac:dyDescent="0.2">
      <c r="A41" s="24">
        <v>43533</v>
      </c>
      <c r="B41" s="28">
        <f t="shared" si="0"/>
        <v>1600.0000000000002</v>
      </c>
      <c r="C41" s="28">
        <f t="shared" si="1"/>
        <v>8100</v>
      </c>
    </row>
    <row r="42" spans="1:3" x14ac:dyDescent="0.2">
      <c r="A42" s="24">
        <v>43534</v>
      </c>
      <c r="B42" s="28">
        <f t="shared" si="0"/>
        <v>1600.0000000000002</v>
      </c>
      <c r="C42" s="28">
        <f t="shared" si="1"/>
        <v>8100</v>
      </c>
    </row>
    <row r="43" spans="1:3" x14ac:dyDescent="0.2">
      <c r="A43" s="23">
        <v>43535</v>
      </c>
      <c r="B43" s="49">
        <f t="shared" si="0"/>
        <v>1866.666666666667</v>
      </c>
      <c r="C43" s="49">
        <f t="shared" si="1"/>
        <v>9450</v>
      </c>
    </row>
    <row r="44" spans="1:3" x14ac:dyDescent="0.2">
      <c r="A44" s="23">
        <v>43536</v>
      </c>
      <c r="B44" s="49">
        <f t="shared" si="0"/>
        <v>2133.3333333333335</v>
      </c>
      <c r="C44" s="49">
        <f t="shared" si="1"/>
        <v>10800</v>
      </c>
    </row>
    <row r="45" spans="1:3" x14ac:dyDescent="0.2">
      <c r="A45" s="23">
        <v>43537</v>
      </c>
      <c r="B45" s="49">
        <f t="shared" si="0"/>
        <v>2400</v>
      </c>
      <c r="C45" s="49">
        <f t="shared" si="1"/>
        <v>12150</v>
      </c>
    </row>
    <row r="46" spans="1:3" x14ac:dyDescent="0.2">
      <c r="A46" s="23">
        <v>43538</v>
      </c>
      <c r="B46" s="49">
        <f t="shared" si="0"/>
        <v>2666.6666666666665</v>
      </c>
      <c r="C46" s="49">
        <f t="shared" si="1"/>
        <v>13500</v>
      </c>
    </row>
    <row r="47" spans="1:3" x14ac:dyDescent="0.2">
      <c r="A47" s="23">
        <v>43539</v>
      </c>
      <c r="B47" s="49">
        <f t="shared" si="0"/>
        <v>2933.333333333333</v>
      </c>
      <c r="C47" s="49">
        <f t="shared" si="1"/>
        <v>14850</v>
      </c>
    </row>
    <row r="48" spans="1:3" x14ac:dyDescent="0.2">
      <c r="A48" s="24">
        <v>43540</v>
      </c>
      <c r="B48" s="28">
        <f t="shared" si="0"/>
        <v>2933.333333333333</v>
      </c>
      <c r="C48" s="28">
        <f t="shared" si="1"/>
        <v>14850</v>
      </c>
    </row>
    <row r="49" spans="1:4" x14ac:dyDescent="0.2">
      <c r="A49" s="24">
        <v>43541</v>
      </c>
      <c r="B49" s="28">
        <f t="shared" si="0"/>
        <v>2933.333333333333</v>
      </c>
      <c r="C49" s="28">
        <f t="shared" si="1"/>
        <v>14850</v>
      </c>
    </row>
    <row r="50" spans="1:4" x14ac:dyDescent="0.2">
      <c r="A50" s="23">
        <v>43542</v>
      </c>
      <c r="B50" s="49">
        <f t="shared" si="0"/>
        <v>3199.9999999999995</v>
      </c>
      <c r="C50" s="49">
        <f t="shared" si="1"/>
        <v>16200</v>
      </c>
    </row>
    <row r="51" spans="1:4" x14ac:dyDescent="0.2">
      <c r="A51" s="23">
        <v>43543</v>
      </c>
      <c r="B51" s="49">
        <f t="shared" si="0"/>
        <v>3466.6666666666661</v>
      </c>
      <c r="C51" s="49">
        <f t="shared" si="1"/>
        <v>17550</v>
      </c>
    </row>
    <row r="52" spans="1:4" x14ac:dyDescent="0.2">
      <c r="A52" s="23">
        <v>43544</v>
      </c>
      <c r="B52" s="49">
        <f t="shared" si="0"/>
        <v>3733.3333333333326</v>
      </c>
      <c r="C52" s="49">
        <f t="shared" si="1"/>
        <v>18900</v>
      </c>
    </row>
    <row r="53" spans="1:4" x14ac:dyDescent="0.2">
      <c r="A53" s="23">
        <v>43545</v>
      </c>
      <c r="B53" s="49">
        <f t="shared" si="0"/>
        <v>3999.9999999999991</v>
      </c>
      <c r="C53" s="49">
        <f t="shared" si="1"/>
        <v>20250</v>
      </c>
    </row>
    <row r="54" spans="1:4" x14ac:dyDescent="0.2">
      <c r="A54" s="23">
        <v>43546</v>
      </c>
      <c r="B54" s="49">
        <f t="shared" si="0"/>
        <v>4266.6666666666661</v>
      </c>
      <c r="C54" s="49">
        <f t="shared" si="1"/>
        <v>21600</v>
      </c>
    </row>
    <row r="55" spans="1:4" x14ac:dyDescent="0.2">
      <c r="A55" s="24">
        <v>43547</v>
      </c>
      <c r="B55" s="28">
        <f t="shared" si="0"/>
        <v>4266.6666666666661</v>
      </c>
      <c r="C55" s="28">
        <f t="shared" si="1"/>
        <v>21600</v>
      </c>
    </row>
    <row r="56" spans="1:4" x14ac:dyDescent="0.2">
      <c r="A56" s="24">
        <v>43548</v>
      </c>
      <c r="B56" s="28">
        <f t="shared" si="0"/>
        <v>4266.6666666666661</v>
      </c>
      <c r="C56" s="28">
        <f t="shared" si="1"/>
        <v>21600</v>
      </c>
    </row>
    <row r="57" spans="1:4" x14ac:dyDescent="0.2">
      <c r="A57" s="23">
        <v>43549</v>
      </c>
      <c r="B57" s="49">
        <f t="shared" si="0"/>
        <v>4533.333333333333</v>
      </c>
      <c r="C57" s="49">
        <f t="shared" si="1"/>
        <v>22950</v>
      </c>
    </row>
    <row r="58" spans="1:4" x14ac:dyDescent="0.2">
      <c r="A58" s="23">
        <v>43550</v>
      </c>
      <c r="B58" s="49">
        <f t="shared" si="0"/>
        <v>4800</v>
      </c>
      <c r="C58" s="49">
        <f t="shared" si="1"/>
        <v>24300</v>
      </c>
    </row>
    <row r="59" spans="1:4" x14ac:dyDescent="0.2">
      <c r="A59" s="23">
        <v>43551</v>
      </c>
      <c r="B59" s="49">
        <f t="shared" si="0"/>
        <v>5066.666666666667</v>
      </c>
      <c r="C59" s="49">
        <f t="shared" si="1"/>
        <v>25650</v>
      </c>
    </row>
    <row r="60" spans="1:4" x14ac:dyDescent="0.2">
      <c r="A60" s="23">
        <v>43552</v>
      </c>
      <c r="B60" s="49">
        <f t="shared" si="0"/>
        <v>5333.3333333333339</v>
      </c>
      <c r="C60" s="49">
        <f>C28+C59</f>
        <v>27000</v>
      </c>
    </row>
    <row r="61" spans="1:4" x14ac:dyDescent="0.2">
      <c r="A61" s="23">
        <v>43553</v>
      </c>
      <c r="B61" s="49">
        <f t="shared" si="0"/>
        <v>5600.0000000000009</v>
      </c>
      <c r="C61" s="49">
        <f t="shared" si="1"/>
        <v>28350</v>
      </c>
    </row>
    <row r="62" spans="1:4" x14ac:dyDescent="0.2">
      <c r="A62" s="24">
        <v>43554</v>
      </c>
      <c r="B62" s="28">
        <f t="shared" si="0"/>
        <v>5600.0000000000009</v>
      </c>
      <c r="C62" s="28">
        <f t="shared" si="1"/>
        <v>28350</v>
      </c>
    </row>
    <row r="63" spans="1:4" x14ac:dyDescent="0.2">
      <c r="A63" s="24">
        <v>43555</v>
      </c>
      <c r="B63" s="28">
        <f t="shared" si="0"/>
        <v>5600.0000000000009</v>
      </c>
      <c r="C63" s="28">
        <f t="shared" si="1"/>
        <v>28350</v>
      </c>
      <c r="D63" s="81">
        <f>SUM(B63-C63)</f>
        <v>-22750</v>
      </c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3">
        <v>43497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71">
        <f>AA70+AB70</f>
        <v>0</v>
      </c>
      <c r="AD70" s="72">
        <f>SUM(AC70)</f>
        <v>0</v>
      </c>
    </row>
    <row r="71" spans="1:30" x14ac:dyDescent="0.2">
      <c r="A71" s="24">
        <v>43498</v>
      </c>
      <c r="B71" s="76"/>
      <c r="C71" s="77"/>
      <c r="D71" s="78"/>
      <c r="E71" s="77"/>
      <c r="F71" s="76"/>
      <c r="G71" s="77"/>
      <c r="H71" s="78"/>
      <c r="I71" s="4"/>
      <c r="J71" s="76"/>
      <c r="K71" s="77"/>
      <c r="L71" s="78"/>
      <c r="M71" s="4"/>
      <c r="N71" s="76"/>
      <c r="O71" s="77"/>
      <c r="P71" s="78"/>
      <c r="Q71" s="4"/>
      <c r="R71" s="76"/>
      <c r="S71" s="77"/>
      <c r="T71" s="78"/>
      <c r="U71" s="4"/>
      <c r="V71" s="76"/>
      <c r="W71" s="77"/>
      <c r="X71" s="78"/>
      <c r="Y71" s="77"/>
      <c r="AA71" s="34">
        <f t="shared" ref="AA71:AB98" si="2">B71+D71+F71+H71+J71+L71+N71+P71+R71+T71+V71+X71</f>
        <v>0</v>
      </c>
      <c r="AB71" s="39">
        <f t="shared" si="2"/>
        <v>0</v>
      </c>
      <c r="AC71" s="51">
        <f t="shared" ref="AC71:AC98" si="3">AA71+AB71</f>
        <v>0</v>
      </c>
    </row>
    <row r="72" spans="1:30" x14ac:dyDescent="0.2">
      <c r="A72" s="24">
        <v>43499</v>
      </c>
      <c r="B72" s="76"/>
      <c r="C72" s="77"/>
      <c r="D72" s="78"/>
      <c r="E72" s="77"/>
      <c r="F72" s="76"/>
      <c r="G72" s="77"/>
      <c r="H72" s="78"/>
      <c r="I72" s="4"/>
      <c r="J72" s="76"/>
      <c r="K72" s="77"/>
      <c r="L72" s="78"/>
      <c r="M72" s="4"/>
      <c r="N72" s="76"/>
      <c r="O72" s="77"/>
      <c r="P72" s="78"/>
      <c r="Q72" s="4"/>
      <c r="R72" s="76"/>
      <c r="S72" s="77"/>
      <c r="T72" s="78"/>
      <c r="U72" s="4"/>
      <c r="V72" s="76"/>
      <c r="W72" s="77"/>
      <c r="X72" s="78"/>
      <c r="Y72" s="77"/>
      <c r="AA72" s="34">
        <f t="shared" si="2"/>
        <v>0</v>
      </c>
      <c r="AB72" s="39">
        <f t="shared" si="2"/>
        <v>0</v>
      </c>
      <c r="AC72" s="51">
        <f t="shared" si="3"/>
        <v>0</v>
      </c>
    </row>
    <row r="73" spans="1:30" x14ac:dyDescent="0.2">
      <c r="A73" s="23">
        <v>43500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</row>
    <row r="74" spans="1:30" x14ac:dyDescent="0.2">
      <c r="A74" s="23">
        <v>43501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64">
        <f t="shared" si="3"/>
        <v>0</v>
      </c>
    </row>
    <row r="75" spans="1:30" x14ac:dyDescent="0.2">
      <c r="A75" s="23">
        <v>43502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</row>
    <row r="76" spans="1:30" x14ac:dyDescent="0.2">
      <c r="A76" s="23">
        <v>43503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</row>
    <row r="77" spans="1:30" x14ac:dyDescent="0.2">
      <c r="A77" s="23">
        <v>43504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71">
        <f t="shared" si="3"/>
        <v>0</v>
      </c>
      <c r="AD77" s="72">
        <f>SUM(AC73:AC77)</f>
        <v>0</v>
      </c>
    </row>
    <row r="78" spans="1:30" x14ac:dyDescent="0.2">
      <c r="A78" s="24">
        <v>43505</v>
      </c>
      <c r="B78" s="76"/>
      <c r="C78" s="77"/>
      <c r="D78" s="78"/>
      <c r="E78" s="77"/>
      <c r="F78" s="76"/>
      <c r="G78" s="77"/>
      <c r="H78" s="78"/>
      <c r="I78" s="4"/>
      <c r="J78" s="76"/>
      <c r="K78" s="77"/>
      <c r="L78" s="78"/>
      <c r="M78" s="4"/>
      <c r="N78" s="76"/>
      <c r="O78" s="77"/>
      <c r="P78" s="78"/>
      <c r="Q78" s="4"/>
      <c r="R78" s="76"/>
      <c r="S78" s="77"/>
      <c r="T78" s="78"/>
      <c r="U78" s="4"/>
      <c r="V78" s="76"/>
      <c r="W78" s="77"/>
      <c r="X78" s="78"/>
      <c r="Y78" s="77"/>
      <c r="AA78" s="34">
        <f t="shared" si="2"/>
        <v>0</v>
      </c>
      <c r="AB78" s="39">
        <f t="shared" si="2"/>
        <v>0</v>
      </c>
      <c r="AC78" s="51">
        <f t="shared" si="3"/>
        <v>0</v>
      </c>
    </row>
    <row r="79" spans="1:30" x14ac:dyDescent="0.2">
      <c r="A79" s="24">
        <v>43506</v>
      </c>
      <c r="B79" s="76"/>
      <c r="C79" s="77"/>
      <c r="D79" s="4"/>
      <c r="E79" s="77"/>
      <c r="F79" s="76"/>
      <c r="G79" s="77"/>
      <c r="H79" s="78"/>
      <c r="I79" s="4"/>
      <c r="J79" s="76"/>
      <c r="K79" s="77"/>
      <c r="L79" s="78"/>
      <c r="M79" s="4"/>
      <c r="N79" s="76"/>
      <c r="O79" s="77"/>
      <c r="P79" s="78"/>
      <c r="Q79" s="4"/>
      <c r="R79" s="76"/>
      <c r="S79" s="77"/>
      <c r="T79" s="78"/>
      <c r="U79" s="4"/>
      <c r="V79" s="76"/>
      <c r="W79" s="77"/>
      <c r="X79" s="78"/>
      <c r="Y79" s="77"/>
      <c r="AA79" s="34">
        <f t="shared" si="2"/>
        <v>0</v>
      </c>
      <c r="AB79" s="39">
        <f t="shared" si="2"/>
        <v>0</v>
      </c>
      <c r="AC79" s="51">
        <f t="shared" si="3"/>
        <v>0</v>
      </c>
    </row>
    <row r="80" spans="1:30" x14ac:dyDescent="0.2">
      <c r="A80" s="23">
        <v>43507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</row>
    <row r="81" spans="1:30" x14ac:dyDescent="0.2">
      <c r="A81" s="23">
        <v>43508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64">
        <f t="shared" si="3"/>
        <v>0</v>
      </c>
    </row>
    <row r="82" spans="1:30" x14ac:dyDescent="0.2">
      <c r="A82" s="23">
        <v>43509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</row>
    <row r="83" spans="1:30" x14ac:dyDescent="0.2">
      <c r="A83" s="23">
        <v>43510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</row>
    <row r="84" spans="1:30" x14ac:dyDescent="0.2">
      <c r="A84" s="23">
        <v>43511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71">
        <f t="shared" si="3"/>
        <v>0</v>
      </c>
      <c r="AD84" s="72">
        <f>SUM(AC80:AC84)</f>
        <v>0</v>
      </c>
    </row>
    <row r="85" spans="1:30" x14ac:dyDescent="0.2">
      <c r="A85" s="24">
        <v>43512</v>
      </c>
      <c r="B85" s="76"/>
      <c r="C85" s="77"/>
      <c r="D85" s="78"/>
      <c r="E85" s="77"/>
      <c r="F85" s="76"/>
      <c r="G85" s="77"/>
      <c r="H85" s="78"/>
      <c r="I85" s="4"/>
      <c r="J85" s="76"/>
      <c r="K85" s="77"/>
      <c r="L85" s="78"/>
      <c r="M85" s="4"/>
      <c r="N85" s="76"/>
      <c r="O85" s="77"/>
      <c r="P85" s="78"/>
      <c r="Q85" s="4"/>
      <c r="R85" s="76"/>
      <c r="S85" s="77"/>
      <c r="T85" s="78"/>
      <c r="U85" s="4"/>
      <c r="V85" s="76"/>
      <c r="W85" s="77"/>
      <c r="X85" s="78"/>
      <c r="Y85" s="77"/>
      <c r="AA85" s="34">
        <f t="shared" si="2"/>
        <v>0</v>
      </c>
      <c r="AB85" s="39">
        <f t="shared" si="2"/>
        <v>0</v>
      </c>
      <c r="AC85" s="51">
        <f t="shared" si="3"/>
        <v>0</v>
      </c>
    </row>
    <row r="86" spans="1:30" x14ac:dyDescent="0.2">
      <c r="A86" s="24">
        <v>43513</v>
      </c>
      <c r="B86" s="76"/>
      <c r="C86" s="77"/>
      <c r="D86" s="78"/>
      <c r="E86" s="77"/>
      <c r="F86" s="76"/>
      <c r="G86" s="77"/>
      <c r="H86" s="78"/>
      <c r="I86" s="4"/>
      <c r="J86" s="76"/>
      <c r="K86" s="77"/>
      <c r="L86" s="78"/>
      <c r="M86" s="4"/>
      <c r="N86" s="76"/>
      <c r="O86" s="77"/>
      <c r="P86" s="78"/>
      <c r="Q86" s="4"/>
      <c r="R86" s="76"/>
      <c r="S86" s="77"/>
      <c r="T86" s="78"/>
      <c r="U86" s="4"/>
      <c r="V86" s="76"/>
      <c r="W86" s="77"/>
      <c r="X86" s="78"/>
      <c r="Y86" s="77"/>
      <c r="AA86" s="34">
        <f t="shared" si="2"/>
        <v>0</v>
      </c>
      <c r="AB86" s="39">
        <f t="shared" si="2"/>
        <v>0</v>
      </c>
      <c r="AC86" s="51">
        <f t="shared" si="3"/>
        <v>0</v>
      </c>
    </row>
    <row r="87" spans="1:30" x14ac:dyDescent="0.2">
      <c r="A87" s="23">
        <v>43514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</row>
    <row r="88" spans="1:30" x14ac:dyDescent="0.2">
      <c r="A88" s="23">
        <v>43515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64">
        <f t="shared" si="3"/>
        <v>0</v>
      </c>
    </row>
    <row r="89" spans="1:30" x14ac:dyDescent="0.2">
      <c r="A89" s="23">
        <v>43516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</row>
    <row r="90" spans="1:30" x14ac:dyDescent="0.2">
      <c r="A90" s="23">
        <v>43517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</row>
    <row r="91" spans="1:30" x14ac:dyDescent="0.2">
      <c r="A91" s="23">
        <v>43518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71">
        <f t="shared" si="3"/>
        <v>0</v>
      </c>
      <c r="AD91" s="72">
        <f>SUM(AC87:AC91)</f>
        <v>0</v>
      </c>
    </row>
    <row r="92" spans="1:30" x14ac:dyDescent="0.2">
      <c r="A92" s="24">
        <v>43519</v>
      </c>
      <c r="B92" s="76"/>
      <c r="C92" s="77"/>
      <c r="D92" s="78"/>
      <c r="E92" s="77"/>
      <c r="F92" s="76"/>
      <c r="G92" s="77"/>
      <c r="H92" s="78"/>
      <c r="I92" s="4"/>
      <c r="J92" s="76"/>
      <c r="K92" s="77"/>
      <c r="L92" s="78"/>
      <c r="M92" s="4"/>
      <c r="N92" s="76"/>
      <c r="O92" s="77"/>
      <c r="P92" s="78"/>
      <c r="Q92" s="4"/>
      <c r="R92" s="76"/>
      <c r="S92" s="77"/>
      <c r="T92" s="78"/>
      <c r="U92" s="4"/>
      <c r="V92" s="76"/>
      <c r="W92" s="77"/>
      <c r="X92" s="78"/>
      <c r="Y92" s="77"/>
      <c r="AA92" s="34">
        <f t="shared" si="2"/>
        <v>0</v>
      </c>
      <c r="AB92" s="39">
        <f t="shared" si="2"/>
        <v>0</v>
      </c>
      <c r="AC92" s="51">
        <f t="shared" si="3"/>
        <v>0</v>
      </c>
    </row>
    <row r="93" spans="1:30" x14ac:dyDescent="0.2">
      <c r="A93" s="24">
        <v>43520</v>
      </c>
      <c r="B93" s="76"/>
      <c r="C93" s="77"/>
      <c r="D93" s="78"/>
      <c r="E93" s="77"/>
      <c r="F93" s="76"/>
      <c r="G93" s="77"/>
      <c r="H93" s="78"/>
      <c r="I93" s="4"/>
      <c r="J93" s="76"/>
      <c r="K93" s="77"/>
      <c r="L93" s="78"/>
      <c r="M93" s="4"/>
      <c r="N93" s="76"/>
      <c r="O93" s="77"/>
      <c r="P93" s="78"/>
      <c r="Q93" s="4"/>
      <c r="R93" s="76"/>
      <c r="S93" s="77"/>
      <c r="T93" s="78"/>
      <c r="U93" s="4"/>
      <c r="V93" s="76"/>
      <c r="W93" s="77"/>
      <c r="X93" s="78"/>
      <c r="Y93" s="77"/>
      <c r="AA93" s="34">
        <f t="shared" si="2"/>
        <v>0</v>
      </c>
      <c r="AB93" s="39">
        <f t="shared" si="2"/>
        <v>0</v>
      </c>
      <c r="AC93" s="51">
        <f t="shared" si="3"/>
        <v>0</v>
      </c>
    </row>
    <row r="94" spans="1:30" x14ac:dyDescent="0.2">
      <c r="A94" s="23">
        <v>43521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</row>
    <row r="95" spans="1:30" x14ac:dyDescent="0.2">
      <c r="A95" s="23">
        <v>43522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64">
        <f t="shared" si="3"/>
        <v>0</v>
      </c>
    </row>
    <row r="96" spans="1:30" x14ac:dyDescent="0.2">
      <c r="A96" s="23">
        <v>43523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</row>
    <row r="97" spans="1:30" x14ac:dyDescent="0.2">
      <c r="A97" s="23">
        <v>43524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</row>
    <row r="98" spans="1:30" x14ac:dyDescent="0.2">
      <c r="A98" s="23">
        <v>43525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71">
        <f t="shared" si="3"/>
        <v>0</v>
      </c>
      <c r="AD98" s="72">
        <f>SUM(AC94:AC98)</f>
        <v>0</v>
      </c>
    </row>
    <row r="99" spans="1:30" x14ac:dyDescent="0.2">
      <c r="A99" s="24">
        <v>43526</v>
      </c>
      <c r="B99" s="76"/>
      <c r="C99" s="77"/>
      <c r="D99" s="78"/>
      <c r="E99" s="4"/>
      <c r="F99" s="76"/>
      <c r="G99" s="77"/>
      <c r="H99" s="78"/>
      <c r="I99" s="4"/>
      <c r="J99" s="76"/>
      <c r="K99" s="77"/>
      <c r="L99" s="78"/>
      <c r="M99" s="4"/>
      <c r="N99" s="76"/>
      <c r="O99" s="77"/>
      <c r="P99" s="78"/>
      <c r="Q99" s="4"/>
      <c r="R99" s="76"/>
      <c r="S99" s="77"/>
      <c r="T99" s="78"/>
      <c r="U99" s="4"/>
      <c r="V99" s="76"/>
      <c r="W99" s="77"/>
      <c r="X99" s="78"/>
      <c r="Y99" s="77"/>
      <c r="AA99" s="34">
        <f>B99+D99+F99+H99+J99+L99+N99+P99+R99+T99+V99+X99</f>
        <v>0</v>
      </c>
      <c r="AB99" s="39">
        <f>C99+E99+G99+I99+K99+M99+O99+Q99+S99+U99+W99+Y99</f>
        <v>0</v>
      </c>
      <c r="AC99" s="51">
        <f>AA99+AB99</f>
        <v>0</v>
      </c>
    </row>
    <row r="100" spans="1:30" ht="15" thickBot="1" x14ac:dyDescent="0.25">
      <c r="A100" s="24">
        <v>43527</v>
      </c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8"/>
      <c r="Y100" s="77"/>
      <c r="AA100" s="52">
        <f>B100+D100+F100+H100+J100+L100+N100+P100+R100+T100+V100+X100</f>
        <v>0</v>
      </c>
      <c r="AB100" s="53">
        <f>C100+E100+G100+I100+K100+M100+O100+Q100+S100+U100+W100+Y100</f>
        <v>0</v>
      </c>
      <c r="AC100" s="54">
        <f>AA100+AB100</f>
        <v>0</v>
      </c>
    </row>
    <row r="101" spans="1:30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9B0B-7547-4816-86E9-9C2C90B6FB36}">
  <sheetPr codeName="Foglio12"/>
  <dimension ref="A1:AD106"/>
  <sheetViews>
    <sheetView zoomScale="70" zoomScaleNormal="70" workbookViewId="0">
      <selection activeCell="AD95" sqref="AD95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97">
        <v>43556</v>
      </c>
      <c r="B1" s="46">
        <v>180</v>
      </c>
      <c r="C1" s="47">
        <v>1350</v>
      </c>
      <c r="E1" s="55"/>
      <c r="F1" s="56"/>
    </row>
    <row r="2" spans="1:6" x14ac:dyDescent="0.2">
      <c r="A2" s="23">
        <v>43557</v>
      </c>
      <c r="B2" s="46">
        <v>180</v>
      </c>
      <c r="C2" s="47">
        <v>1350</v>
      </c>
      <c r="E2" s="55"/>
      <c r="F2" s="56"/>
    </row>
    <row r="3" spans="1:6" x14ac:dyDescent="0.2">
      <c r="A3" s="23">
        <v>43558</v>
      </c>
      <c r="B3" s="46">
        <v>180</v>
      </c>
      <c r="C3" s="47">
        <v>1350</v>
      </c>
    </row>
    <row r="4" spans="1:6" x14ac:dyDescent="0.2">
      <c r="A4" s="23">
        <v>43559</v>
      </c>
      <c r="B4" s="46">
        <v>180</v>
      </c>
      <c r="C4" s="47">
        <v>1350</v>
      </c>
    </row>
    <row r="5" spans="1:6" x14ac:dyDescent="0.2">
      <c r="A5" s="23">
        <v>43560</v>
      </c>
      <c r="B5" s="46">
        <v>180</v>
      </c>
      <c r="C5" s="47">
        <v>1350</v>
      </c>
    </row>
    <row r="6" spans="1:6" x14ac:dyDescent="0.2">
      <c r="A6" s="24">
        <v>43561</v>
      </c>
      <c r="B6" s="25">
        <v>0</v>
      </c>
      <c r="C6" s="26">
        <v>0</v>
      </c>
      <c r="E6" s="29" t="s">
        <v>148</v>
      </c>
      <c r="F6" s="30">
        <f>SUM(B1:B5)</f>
        <v>900</v>
      </c>
    </row>
    <row r="7" spans="1:6" x14ac:dyDescent="0.2">
      <c r="A7" s="24">
        <v>43562</v>
      </c>
      <c r="B7" s="25">
        <v>0</v>
      </c>
      <c r="C7" s="26">
        <v>0</v>
      </c>
      <c r="E7" s="29" t="s">
        <v>149</v>
      </c>
      <c r="F7" s="32">
        <f>F6/5</f>
        <v>180</v>
      </c>
    </row>
    <row r="8" spans="1:6" x14ac:dyDescent="0.2">
      <c r="A8" s="23">
        <v>43563</v>
      </c>
      <c r="B8" s="46">
        <v>180</v>
      </c>
      <c r="C8" s="47">
        <v>1350</v>
      </c>
    </row>
    <row r="9" spans="1:6" x14ac:dyDescent="0.2">
      <c r="A9" s="23">
        <v>43564</v>
      </c>
      <c r="B9" s="46">
        <v>180</v>
      </c>
      <c r="C9" s="47">
        <v>1350</v>
      </c>
    </row>
    <row r="10" spans="1:6" x14ac:dyDescent="0.2">
      <c r="A10" s="23">
        <v>43565</v>
      </c>
      <c r="B10" s="46">
        <v>180</v>
      </c>
      <c r="C10" s="47">
        <v>1350</v>
      </c>
    </row>
    <row r="11" spans="1:6" x14ac:dyDescent="0.2">
      <c r="A11" s="23">
        <v>43566</v>
      </c>
      <c r="B11" s="46">
        <v>180</v>
      </c>
      <c r="C11" s="47">
        <v>1350</v>
      </c>
    </row>
    <row r="12" spans="1:6" x14ac:dyDescent="0.2">
      <c r="A12" s="23">
        <v>43567</v>
      </c>
      <c r="B12" s="46">
        <v>180</v>
      </c>
      <c r="C12" s="47">
        <v>1350</v>
      </c>
    </row>
    <row r="13" spans="1:6" x14ac:dyDescent="0.2">
      <c r="A13" s="24">
        <v>43568</v>
      </c>
      <c r="B13" s="25">
        <v>0</v>
      </c>
      <c r="C13" s="26">
        <v>0</v>
      </c>
      <c r="E13" s="29" t="s">
        <v>148</v>
      </c>
      <c r="F13" s="30">
        <f>SUM(B8:B12)</f>
        <v>900</v>
      </c>
    </row>
    <row r="14" spans="1:6" x14ac:dyDescent="0.2">
      <c r="A14" s="24">
        <v>43569</v>
      </c>
      <c r="B14" s="25">
        <v>0</v>
      </c>
      <c r="C14" s="26">
        <v>0</v>
      </c>
      <c r="E14" s="29" t="s">
        <v>149</v>
      </c>
      <c r="F14" s="32">
        <f>F13/5</f>
        <v>180</v>
      </c>
    </row>
    <row r="15" spans="1:6" x14ac:dyDescent="0.2">
      <c r="A15" s="23">
        <v>43570</v>
      </c>
      <c r="B15" s="46">
        <v>180</v>
      </c>
      <c r="C15" s="47">
        <v>1350</v>
      </c>
    </row>
    <row r="16" spans="1:6" x14ac:dyDescent="0.2">
      <c r="A16" s="23">
        <v>43571</v>
      </c>
      <c r="B16" s="46">
        <v>180</v>
      </c>
      <c r="C16" s="47">
        <v>1350</v>
      </c>
    </row>
    <row r="17" spans="1:6" x14ac:dyDescent="0.2">
      <c r="A17" s="23">
        <v>43572</v>
      </c>
      <c r="B17" s="46">
        <v>180</v>
      </c>
      <c r="C17" s="47">
        <v>1350</v>
      </c>
    </row>
    <row r="18" spans="1:6" x14ac:dyDescent="0.2">
      <c r="A18" s="23">
        <v>43573</v>
      </c>
      <c r="B18" s="46">
        <v>180</v>
      </c>
      <c r="C18" s="47">
        <v>1350</v>
      </c>
    </row>
    <row r="19" spans="1:6" x14ac:dyDescent="0.2">
      <c r="A19" s="23">
        <v>43574</v>
      </c>
      <c r="B19" s="46">
        <v>180</v>
      </c>
      <c r="C19" s="47">
        <v>1350</v>
      </c>
    </row>
    <row r="20" spans="1:6" x14ac:dyDescent="0.2">
      <c r="A20" s="24">
        <v>43575</v>
      </c>
      <c r="B20" s="25">
        <v>0</v>
      </c>
      <c r="C20" s="26">
        <v>0</v>
      </c>
      <c r="E20" s="29" t="s">
        <v>148</v>
      </c>
      <c r="F20" s="30">
        <f>SUM(B15:B19)</f>
        <v>900</v>
      </c>
    </row>
    <row r="21" spans="1:6" x14ac:dyDescent="0.2">
      <c r="A21" s="24">
        <v>43576</v>
      </c>
      <c r="B21" s="25">
        <v>0</v>
      </c>
      <c r="C21" s="26">
        <v>0</v>
      </c>
      <c r="E21" s="29" t="s">
        <v>149</v>
      </c>
      <c r="F21" s="32">
        <f>F20/5</f>
        <v>180</v>
      </c>
    </row>
    <row r="22" spans="1:6" x14ac:dyDescent="0.2">
      <c r="A22" s="24">
        <v>43577</v>
      </c>
      <c r="B22" s="25">
        <v>0</v>
      </c>
      <c r="C22" s="26">
        <v>1350</v>
      </c>
    </row>
    <row r="23" spans="1:6" x14ac:dyDescent="0.2">
      <c r="A23" s="23">
        <v>43578</v>
      </c>
      <c r="B23" s="46">
        <v>180</v>
      </c>
      <c r="C23" s="47">
        <v>1350</v>
      </c>
    </row>
    <row r="24" spans="1:6" x14ac:dyDescent="0.2">
      <c r="A24" s="23">
        <v>43579</v>
      </c>
      <c r="B24" s="48">
        <v>180</v>
      </c>
      <c r="C24" s="47">
        <v>1350</v>
      </c>
    </row>
    <row r="25" spans="1:6" x14ac:dyDescent="0.2">
      <c r="A25" s="24">
        <v>43580</v>
      </c>
      <c r="B25" s="27">
        <v>0</v>
      </c>
      <c r="C25" s="26">
        <v>1350</v>
      </c>
    </row>
    <row r="26" spans="1:6" x14ac:dyDescent="0.2">
      <c r="A26" s="23">
        <v>43581</v>
      </c>
      <c r="B26" s="48">
        <v>0</v>
      </c>
      <c r="C26" s="47">
        <v>1350</v>
      </c>
    </row>
    <row r="27" spans="1:6" x14ac:dyDescent="0.2">
      <c r="A27" s="24">
        <v>43582</v>
      </c>
      <c r="B27" s="27">
        <v>0</v>
      </c>
      <c r="C27" s="26">
        <v>0</v>
      </c>
    </row>
    <row r="28" spans="1:6" x14ac:dyDescent="0.2">
      <c r="A28" s="24">
        <v>43583</v>
      </c>
      <c r="B28" s="27">
        <v>0</v>
      </c>
      <c r="C28" s="26">
        <v>0</v>
      </c>
    </row>
    <row r="29" spans="1:6" x14ac:dyDescent="0.2">
      <c r="A29" s="23">
        <v>43584</v>
      </c>
      <c r="B29" s="48">
        <v>180</v>
      </c>
      <c r="C29" s="47">
        <v>1350</v>
      </c>
      <c r="E29" s="29" t="s">
        <v>148</v>
      </c>
      <c r="F29" s="30">
        <f>SUM(B23:B30)</f>
        <v>720</v>
      </c>
    </row>
    <row r="30" spans="1:6" x14ac:dyDescent="0.2">
      <c r="A30" s="23">
        <v>43585</v>
      </c>
      <c r="B30" s="48">
        <v>180</v>
      </c>
      <c r="C30" s="47">
        <v>1350</v>
      </c>
      <c r="E30" s="29" t="s">
        <v>149</v>
      </c>
      <c r="F30" s="32">
        <f>F29/4</f>
        <v>180</v>
      </c>
    </row>
    <row r="31" spans="1:6" x14ac:dyDescent="0.2">
      <c r="A31" s="23"/>
      <c r="B31" s="48"/>
      <c r="C31" s="47"/>
      <c r="E31" s="55"/>
      <c r="F31" s="56"/>
    </row>
    <row r="33" spans="1:3" x14ac:dyDescent="0.2">
      <c r="A33" s="23">
        <v>43556</v>
      </c>
      <c r="B33" s="49">
        <f>B1</f>
        <v>180</v>
      </c>
      <c r="C33" s="49">
        <f>C1</f>
        <v>1350</v>
      </c>
    </row>
    <row r="34" spans="1:3" x14ac:dyDescent="0.2">
      <c r="A34" s="23">
        <v>43557</v>
      </c>
      <c r="B34" s="49">
        <f t="shared" ref="B34:C49" si="0">B2+B33</f>
        <v>360</v>
      </c>
      <c r="C34" s="49">
        <f>C2+C33</f>
        <v>2700</v>
      </c>
    </row>
    <row r="35" spans="1:3" x14ac:dyDescent="0.2">
      <c r="A35" s="23">
        <v>43558</v>
      </c>
      <c r="B35" s="49">
        <f t="shared" si="0"/>
        <v>540</v>
      </c>
      <c r="C35" s="49">
        <f t="shared" si="0"/>
        <v>4050</v>
      </c>
    </row>
    <row r="36" spans="1:3" x14ac:dyDescent="0.2">
      <c r="A36" s="23">
        <v>43559</v>
      </c>
      <c r="B36" s="49">
        <f t="shared" si="0"/>
        <v>720</v>
      </c>
      <c r="C36" s="49">
        <f t="shared" si="0"/>
        <v>5400</v>
      </c>
    </row>
    <row r="37" spans="1:3" x14ac:dyDescent="0.2">
      <c r="A37" s="23">
        <v>43560</v>
      </c>
      <c r="B37" s="49">
        <f t="shared" si="0"/>
        <v>900</v>
      </c>
      <c r="C37" s="49">
        <f t="shared" si="0"/>
        <v>6750</v>
      </c>
    </row>
    <row r="38" spans="1:3" x14ac:dyDescent="0.2">
      <c r="A38" s="24">
        <v>43561</v>
      </c>
      <c r="B38" s="28">
        <f t="shared" si="0"/>
        <v>900</v>
      </c>
      <c r="C38" s="28">
        <f t="shared" si="0"/>
        <v>6750</v>
      </c>
    </row>
    <row r="39" spans="1:3" x14ac:dyDescent="0.2">
      <c r="A39" s="24">
        <v>43562</v>
      </c>
      <c r="B39" s="28">
        <f t="shared" si="0"/>
        <v>900</v>
      </c>
      <c r="C39" s="28">
        <f t="shared" si="0"/>
        <v>6750</v>
      </c>
    </row>
    <row r="40" spans="1:3" x14ac:dyDescent="0.2">
      <c r="A40" s="23">
        <v>43563</v>
      </c>
      <c r="B40" s="49">
        <f t="shared" si="0"/>
        <v>1080</v>
      </c>
      <c r="C40" s="49">
        <f t="shared" si="0"/>
        <v>8100</v>
      </c>
    </row>
    <row r="41" spans="1:3" x14ac:dyDescent="0.2">
      <c r="A41" s="23">
        <v>43564</v>
      </c>
      <c r="B41" s="49">
        <f t="shared" si="0"/>
        <v>1260</v>
      </c>
      <c r="C41" s="49">
        <f t="shared" si="0"/>
        <v>9450</v>
      </c>
    </row>
    <row r="42" spans="1:3" x14ac:dyDescent="0.2">
      <c r="A42" s="23">
        <v>43565</v>
      </c>
      <c r="B42" s="49">
        <f t="shared" si="0"/>
        <v>1440</v>
      </c>
      <c r="C42" s="49">
        <f t="shared" si="0"/>
        <v>10800</v>
      </c>
    </row>
    <row r="43" spans="1:3" x14ac:dyDescent="0.2">
      <c r="A43" s="23">
        <v>43566</v>
      </c>
      <c r="B43" s="49">
        <f t="shared" si="0"/>
        <v>1620</v>
      </c>
      <c r="C43" s="49">
        <f t="shared" si="0"/>
        <v>12150</v>
      </c>
    </row>
    <row r="44" spans="1:3" x14ac:dyDescent="0.2">
      <c r="A44" s="23">
        <v>43567</v>
      </c>
      <c r="B44" s="49">
        <f t="shared" si="0"/>
        <v>1800</v>
      </c>
      <c r="C44" s="49">
        <f t="shared" si="0"/>
        <v>13500</v>
      </c>
    </row>
    <row r="45" spans="1:3" x14ac:dyDescent="0.2">
      <c r="A45" s="24">
        <v>43568</v>
      </c>
      <c r="B45" s="28">
        <f t="shared" si="0"/>
        <v>1800</v>
      </c>
      <c r="C45" s="28">
        <f t="shared" si="0"/>
        <v>13500</v>
      </c>
    </row>
    <row r="46" spans="1:3" x14ac:dyDescent="0.2">
      <c r="A46" s="24">
        <v>43569</v>
      </c>
      <c r="B46" s="28">
        <f t="shared" si="0"/>
        <v>1800</v>
      </c>
      <c r="C46" s="28">
        <f t="shared" si="0"/>
        <v>13500</v>
      </c>
    </row>
    <row r="47" spans="1:3" x14ac:dyDescent="0.2">
      <c r="A47" s="23">
        <v>43570</v>
      </c>
      <c r="B47" s="49">
        <f t="shared" si="0"/>
        <v>1980</v>
      </c>
      <c r="C47" s="49">
        <f t="shared" si="0"/>
        <v>14850</v>
      </c>
    </row>
    <row r="48" spans="1:3" x14ac:dyDescent="0.2">
      <c r="A48" s="23">
        <v>43571</v>
      </c>
      <c r="B48" s="49">
        <f t="shared" si="0"/>
        <v>2160</v>
      </c>
      <c r="C48" s="49">
        <f t="shared" si="0"/>
        <v>16200</v>
      </c>
    </row>
    <row r="49" spans="1:4" x14ac:dyDescent="0.2">
      <c r="A49" s="23">
        <v>43572</v>
      </c>
      <c r="B49" s="49">
        <f t="shared" si="0"/>
        <v>2340</v>
      </c>
      <c r="C49" s="49">
        <f t="shared" si="0"/>
        <v>17550</v>
      </c>
    </row>
    <row r="50" spans="1:4" x14ac:dyDescent="0.2">
      <c r="A50" s="23">
        <v>43573</v>
      </c>
      <c r="B50" s="49">
        <f t="shared" ref="B50:C62" si="1">B18+B49</f>
        <v>2520</v>
      </c>
      <c r="C50" s="49">
        <f t="shared" si="1"/>
        <v>18900</v>
      </c>
    </row>
    <row r="51" spans="1:4" x14ac:dyDescent="0.2">
      <c r="A51" s="23">
        <v>43574</v>
      </c>
      <c r="B51" s="49">
        <f t="shared" si="1"/>
        <v>2700</v>
      </c>
      <c r="C51" s="49">
        <f t="shared" si="1"/>
        <v>20250</v>
      </c>
    </row>
    <row r="52" spans="1:4" x14ac:dyDescent="0.2">
      <c r="A52" s="24">
        <v>43575</v>
      </c>
      <c r="B52" s="28">
        <f t="shared" si="1"/>
        <v>2700</v>
      </c>
      <c r="C52" s="28">
        <f t="shared" si="1"/>
        <v>20250</v>
      </c>
    </row>
    <row r="53" spans="1:4" x14ac:dyDescent="0.2">
      <c r="A53" s="24">
        <v>43576</v>
      </c>
      <c r="B53" s="28">
        <f t="shared" si="1"/>
        <v>2700</v>
      </c>
      <c r="C53" s="28">
        <f t="shared" si="1"/>
        <v>20250</v>
      </c>
    </row>
    <row r="54" spans="1:4" x14ac:dyDescent="0.2">
      <c r="A54" s="24">
        <v>43577</v>
      </c>
      <c r="B54" s="28">
        <f t="shared" si="1"/>
        <v>2700</v>
      </c>
      <c r="C54" s="28">
        <f t="shared" si="1"/>
        <v>21600</v>
      </c>
    </row>
    <row r="55" spans="1:4" x14ac:dyDescent="0.2">
      <c r="A55" s="23">
        <v>43578</v>
      </c>
      <c r="B55" s="49">
        <f t="shared" si="1"/>
        <v>2880</v>
      </c>
      <c r="C55" s="49">
        <f t="shared" si="1"/>
        <v>22950</v>
      </c>
    </row>
    <row r="56" spans="1:4" x14ac:dyDescent="0.2">
      <c r="A56" s="23">
        <v>43579</v>
      </c>
      <c r="B56" s="49">
        <f t="shared" si="1"/>
        <v>3060</v>
      </c>
      <c r="C56" s="49">
        <f t="shared" si="1"/>
        <v>24300</v>
      </c>
    </row>
    <row r="57" spans="1:4" x14ac:dyDescent="0.2">
      <c r="A57" s="24">
        <v>43580</v>
      </c>
      <c r="B57" s="28">
        <f t="shared" si="1"/>
        <v>3060</v>
      </c>
      <c r="C57" s="28">
        <f t="shared" si="1"/>
        <v>25650</v>
      </c>
    </row>
    <row r="58" spans="1:4" x14ac:dyDescent="0.2">
      <c r="A58" s="23">
        <v>43581</v>
      </c>
      <c r="B58" s="49">
        <f t="shared" si="1"/>
        <v>3060</v>
      </c>
      <c r="C58" s="49">
        <f t="shared" si="1"/>
        <v>27000</v>
      </c>
    </row>
    <row r="59" spans="1:4" x14ac:dyDescent="0.2">
      <c r="A59" s="24">
        <v>43582</v>
      </c>
      <c r="B59" s="28">
        <f t="shared" si="1"/>
        <v>3060</v>
      </c>
      <c r="C59" s="28">
        <f t="shared" si="1"/>
        <v>27000</v>
      </c>
    </row>
    <row r="60" spans="1:4" x14ac:dyDescent="0.2">
      <c r="A60" s="24">
        <v>43583</v>
      </c>
      <c r="B60" s="28">
        <f t="shared" si="1"/>
        <v>3060</v>
      </c>
      <c r="C60" s="28">
        <f>C28+C59</f>
        <v>27000</v>
      </c>
    </row>
    <row r="61" spans="1:4" x14ac:dyDescent="0.2">
      <c r="A61" s="23">
        <v>43584</v>
      </c>
      <c r="B61" s="49">
        <f t="shared" si="1"/>
        <v>3240</v>
      </c>
      <c r="C61" s="49">
        <f t="shared" si="1"/>
        <v>28350</v>
      </c>
    </row>
    <row r="62" spans="1:4" x14ac:dyDescent="0.2">
      <c r="A62" s="23">
        <v>43585</v>
      </c>
      <c r="B62" s="49">
        <f t="shared" si="1"/>
        <v>3420</v>
      </c>
      <c r="C62" s="49">
        <f t="shared" si="1"/>
        <v>29700</v>
      </c>
      <c r="D62" s="81">
        <f>SUM(B62-C62)</f>
        <v>-26280</v>
      </c>
    </row>
    <row r="63" spans="1:4" x14ac:dyDescent="0.2">
      <c r="A63" s="23"/>
      <c r="B63" s="49"/>
      <c r="C63" s="49"/>
    </row>
    <row r="67" spans="1:30" ht="15" thickBot="1" x14ac:dyDescent="0.25"/>
    <row r="68" spans="1:30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0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</row>
    <row r="70" spans="1:30" x14ac:dyDescent="0.2">
      <c r="A70" s="23">
        <v>43556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71">
        <f>AA70+AB70</f>
        <v>0</v>
      </c>
    </row>
    <row r="71" spans="1:30" x14ac:dyDescent="0.2">
      <c r="A71" s="23">
        <v>43557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69">
        <f t="shared" si="2"/>
        <v>0</v>
      </c>
      <c r="AC71" s="64">
        <f t="shared" ref="AC71:AC98" si="3">AA71+AB71</f>
        <v>0</v>
      </c>
    </row>
    <row r="72" spans="1:30" x14ac:dyDescent="0.2">
      <c r="A72" s="23">
        <v>43558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64">
        <f t="shared" si="3"/>
        <v>0</v>
      </c>
    </row>
    <row r="73" spans="1:30" x14ac:dyDescent="0.2">
      <c r="A73" s="23">
        <v>43559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</row>
    <row r="74" spans="1:30" x14ac:dyDescent="0.2">
      <c r="A74" s="23">
        <v>43560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71">
        <f t="shared" si="3"/>
        <v>0</v>
      </c>
      <c r="AD74" s="72">
        <f>SUM(AC70:AC74)</f>
        <v>0</v>
      </c>
    </row>
    <row r="75" spans="1:30" x14ac:dyDescent="0.2">
      <c r="A75" s="24">
        <v>43561</v>
      </c>
      <c r="B75" s="76"/>
      <c r="C75" s="77"/>
      <c r="D75" s="78"/>
      <c r="E75" s="77"/>
      <c r="F75" s="76"/>
      <c r="G75" s="77"/>
      <c r="H75" s="78"/>
      <c r="I75" s="4"/>
      <c r="J75" s="76"/>
      <c r="K75" s="77"/>
      <c r="L75" s="78"/>
      <c r="M75" s="4"/>
      <c r="N75" s="76"/>
      <c r="O75" s="77"/>
      <c r="P75" s="78"/>
      <c r="Q75" s="4"/>
      <c r="R75" s="76"/>
      <c r="S75" s="77"/>
      <c r="T75" s="78"/>
      <c r="U75" s="4"/>
      <c r="V75" s="76"/>
      <c r="W75" s="77"/>
      <c r="X75" s="78"/>
      <c r="Y75" s="77"/>
      <c r="AA75" s="34">
        <f t="shared" si="2"/>
        <v>0</v>
      </c>
      <c r="AB75" s="39">
        <f t="shared" si="2"/>
        <v>0</v>
      </c>
      <c r="AC75" s="51">
        <f t="shared" si="3"/>
        <v>0</v>
      </c>
    </row>
    <row r="76" spans="1:30" x14ac:dyDescent="0.2">
      <c r="A76" s="24">
        <v>43562</v>
      </c>
      <c r="B76" s="76"/>
      <c r="C76" s="77"/>
      <c r="D76" s="78"/>
      <c r="E76" s="77"/>
      <c r="F76" s="76"/>
      <c r="G76" s="77"/>
      <c r="H76" s="78"/>
      <c r="I76" s="4"/>
      <c r="J76" s="76"/>
      <c r="K76" s="77"/>
      <c r="L76" s="78"/>
      <c r="M76" s="4"/>
      <c r="N76" s="76"/>
      <c r="O76" s="77"/>
      <c r="P76" s="78"/>
      <c r="Q76" s="4"/>
      <c r="R76" s="76"/>
      <c r="S76" s="77"/>
      <c r="T76" s="78"/>
      <c r="U76" s="4"/>
      <c r="V76" s="76"/>
      <c r="W76" s="77"/>
      <c r="X76" s="78"/>
      <c r="Y76" s="77"/>
      <c r="AA76" s="34">
        <f t="shared" si="2"/>
        <v>0</v>
      </c>
      <c r="AB76" s="39">
        <f t="shared" si="2"/>
        <v>0</v>
      </c>
      <c r="AC76" s="51">
        <f t="shared" si="3"/>
        <v>0</v>
      </c>
    </row>
    <row r="77" spans="1:30" x14ac:dyDescent="0.2">
      <c r="A77" s="23">
        <v>43563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71">
        <f t="shared" si="3"/>
        <v>0</v>
      </c>
    </row>
    <row r="78" spans="1:30" x14ac:dyDescent="0.2">
      <c r="A78" s="23">
        <v>43564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69">
        <f t="shared" si="2"/>
        <v>0</v>
      </c>
      <c r="AC78" s="64">
        <f t="shared" si="3"/>
        <v>0</v>
      </c>
    </row>
    <row r="79" spans="1:30" x14ac:dyDescent="0.2">
      <c r="A79" s="23">
        <v>43565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64">
        <f t="shared" si="3"/>
        <v>0</v>
      </c>
    </row>
    <row r="80" spans="1:30" x14ac:dyDescent="0.2">
      <c r="A80" s="23">
        <v>43566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</row>
    <row r="81" spans="1:30" x14ac:dyDescent="0.2">
      <c r="A81" s="23">
        <v>43567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71">
        <f t="shared" si="3"/>
        <v>0</v>
      </c>
      <c r="AD81" s="72">
        <f>SUM(AC77:AC81)</f>
        <v>0</v>
      </c>
    </row>
    <row r="82" spans="1:30" x14ac:dyDescent="0.2">
      <c r="A82" s="24">
        <v>43568</v>
      </c>
      <c r="B82" s="76"/>
      <c r="C82" s="77"/>
      <c r="D82" s="78"/>
      <c r="E82" s="77"/>
      <c r="F82" s="76"/>
      <c r="G82" s="77"/>
      <c r="H82" s="78"/>
      <c r="I82" s="4"/>
      <c r="J82" s="76"/>
      <c r="K82" s="77"/>
      <c r="L82" s="78"/>
      <c r="M82" s="4"/>
      <c r="N82" s="76"/>
      <c r="O82" s="77"/>
      <c r="P82" s="78"/>
      <c r="Q82" s="4"/>
      <c r="R82" s="76"/>
      <c r="S82" s="77"/>
      <c r="T82" s="78"/>
      <c r="U82" s="4"/>
      <c r="V82" s="76"/>
      <c r="W82" s="77"/>
      <c r="X82" s="78"/>
      <c r="Y82" s="77"/>
      <c r="AA82" s="34">
        <f t="shared" si="2"/>
        <v>0</v>
      </c>
      <c r="AB82" s="39">
        <f t="shared" si="2"/>
        <v>0</v>
      </c>
      <c r="AC82" s="51">
        <f t="shared" si="3"/>
        <v>0</v>
      </c>
    </row>
    <row r="83" spans="1:30" x14ac:dyDescent="0.2">
      <c r="A83" s="24">
        <v>43569</v>
      </c>
      <c r="B83" s="76"/>
      <c r="C83" s="77"/>
      <c r="D83" s="78"/>
      <c r="E83" s="77"/>
      <c r="F83" s="76"/>
      <c r="G83" s="77"/>
      <c r="H83" s="78"/>
      <c r="I83" s="4"/>
      <c r="J83" s="76"/>
      <c r="K83" s="77"/>
      <c r="L83" s="78"/>
      <c r="M83" s="4"/>
      <c r="N83" s="76"/>
      <c r="O83" s="77"/>
      <c r="P83" s="78"/>
      <c r="Q83" s="4"/>
      <c r="R83" s="76"/>
      <c r="S83" s="77"/>
      <c r="T83" s="78"/>
      <c r="U83" s="4"/>
      <c r="V83" s="76"/>
      <c r="W83" s="77"/>
      <c r="X83" s="78"/>
      <c r="Y83" s="77"/>
      <c r="AA83" s="34">
        <f t="shared" si="2"/>
        <v>0</v>
      </c>
      <c r="AB83" s="39">
        <f t="shared" si="2"/>
        <v>0</v>
      </c>
      <c r="AC83" s="51">
        <f t="shared" si="3"/>
        <v>0</v>
      </c>
    </row>
    <row r="84" spans="1:30" x14ac:dyDescent="0.2">
      <c r="A84" s="23">
        <v>43570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71">
        <f t="shared" si="3"/>
        <v>0</v>
      </c>
    </row>
    <row r="85" spans="1:30" x14ac:dyDescent="0.2">
      <c r="A85" s="23">
        <v>43571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69">
        <f t="shared" si="2"/>
        <v>0</v>
      </c>
      <c r="AC85" s="64">
        <f t="shared" si="3"/>
        <v>0</v>
      </c>
    </row>
    <row r="86" spans="1:30" x14ac:dyDescent="0.2">
      <c r="A86" s="23">
        <v>43572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64">
        <f t="shared" si="3"/>
        <v>0</v>
      </c>
    </row>
    <row r="87" spans="1:30" x14ac:dyDescent="0.2">
      <c r="A87" s="23">
        <v>43573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</row>
    <row r="88" spans="1:30" x14ac:dyDescent="0.2">
      <c r="A88" s="23">
        <v>43574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71">
        <f t="shared" si="3"/>
        <v>0</v>
      </c>
      <c r="AD88" s="72">
        <f>SUM(AC84:AC88)</f>
        <v>0</v>
      </c>
    </row>
    <row r="89" spans="1:30" x14ac:dyDescent="0.2">
      <c r="A89" s="24">
        <v>43575</v>
      </c>
      <c r="B89" s="76"/>
      <c r="C89" s="77"/>
      <c r="D89" s="78"/>
      <c r="E89" s="77"/>
      <c r="F89" s="76"/>
      <c r="G89" s="77"/>
      <c r="H89" s="78"/>
      <c r="I89" s="4"/>
      <c r="J89" s="76"/>
      <c r="K89" s="77"/>
      <c r="L89" s="78"/>
      <c r="M89" s="4"/>
      <c r="N89" s="76"/>
      <c r="O89" s="77"/>
      <c r="P89" s="78"/>
      <c r="Q89" s="4"/>
      <c r="R89" s="76"/>
      <c r="S89" s="77"/>
      <c r="T89" s="78"/>
      <c r="U89" s="4"/>
      <c r="V89" s="76"/>
      <c r="W89" s="77"/>
      <c r="X89" s="78"/>
      <c r="Y89" s="77"/>
      <c r="AA89" s="34">
        <f t="shared" si="2"/>
        <v>0</v>
      </c>
      <c r="AB89" s="39">
        <f t="shared" si="2"/>
        <v>0</v>
      </c>
      <c r="AC89" s="51">
        <f t="shared" si="3"/>
        <v>0</v>
      </c>
    </row>
    <row r="90" spans="1:30" x14ac:dyDescent="0.2">
      <c r="A90" s="24">
        <v>43576</v>
      </c>
      <c r="B90" s="76"/>
      <c r="C90" s="77"/>
      <c r="D90" s="78"/>
      <c r="E90" s="77"/>
      <c r="F90" s="76"/>
      <c r="G90" s="77"/>
      <c r="H90" s="78"/>
      <c r="I90" s="4"/>
      <c r="J90" s="76"/>
      <c r="K90" s="77"/>
      <c r="L90" s="78"/>
      <c r="M90" s="4"/>
      <c r="N90" s="76"/>
      <c r="O90" s="77"/>
      <c r="P90" s="78"/>
      <c r="Q90" s="4"/>
      <c r="R90" s="76"/>
      <c r="S90" s="77"/>
      <c r="T90" s="78"/>
      <c r="U90" s="4"/>
      <c r="V90" s="76"/>
      <c r="W90" s="77"/>
      <c r="X90" s="78"/>
      <c r="Y90" s="77"/>
      <c r="AA90" s="34">
        <f t="shared" si="2"/>
        <v>0</v>
      </c>
      <c r="AB90" s="39">
        <f t="shared" si="2"/>
        <v>0</v>
      </c>
      <c r="AC90" s="51">
        <f t="shared" si="3"/>
        <v>0</v>
      </c>
    </row>
    <row r="91" spans="1:30" x14ac:dyDescent="0.2">
      <c r="A91" s="23">
        <v>43577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71">
        <f t="shared" si="3"/>
        <v>0</v>
      </c>
    </row>
    <row r="92" spans="1:30" x14ac:dyDescent="0.2">
      <c r="A92" s="23">
        <v>43578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69">
        <f t="shared" si="2"/>
        <v>0</v>
      </c>
      <c r="AC92" s="64">
        <f t="shared" si="3"/>
        <v>0</v>
      </c>
    </row>
    <row r="93" spans="1:30" x14ac:dyDescent="0.2">
      <c r="A93" s="23">
        <v>43579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64">
        <f t="shared" si="3"/>
        <v>0</v>
      </c>
    </row>
    <row r="94" spans="1:30" x14ac:dyDescent="0.2">
      <c r="A94" s="23">
        <v>43580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</row>
    <row r="95" spans="1:30" x14ac:dyDescent="0.2">
      <c r="A95" s="23">
        <v>43581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71">
        <f t="shared" si="3"/>
        <v>0</v>
      </c>
      <c r="AD95" s="72">
        <f>SUM(AC91:AC95)</f>
        <v>0</v>
      </c>
    </row>
    <row r="96" spans="1:30" x14ac:dyDescent="0.2">
      <c r="A96" s="24">
        <v>43582</v>
      </c>
      <c r="B96" s="76"/>
      <c r="C96" s="77"/>
      <c r="D96" s="78"/>
      <c r="E96" s="77"/>
      <c r="F96" s="76"/>
      <c r="G96" s="77"/>
      <c r="H96" s="78"/>
      <c r="I96" s="4"/>
      <c r="J96" s="76"/>
      <c r="K96" s="77"/>
      <c r="L96" s="78"/>
      <c r="M96" s="4"/>
      <c r="N96" s="76"/>
      <c r="O96" s="77"/>
      <c r="P96" s="78"/>
      <c r="Q96" s="4"/>
      <c r="R96" s="76"/>
      <c r="S96" s="77"/>
      <c r="T96" s="78"/>
      <c r="U96" s="4"/>
      <c r="V96" s="76"/>
      <c r="W96" s="77"/>
      <c r="X96" s="78"/>
      <c r="Y96" s="77"/>
      <c r="AA96" s="34">
        <f t="shared" si="2"/>
        <v>0</v>
      </c>
      <c r="AB96" s="39">
        <f t="shared" si="2"/>
        <v>0</v>
      </c>
      <c r="AC96" s="51">
        <f t="shared" si="3"/>
        <v>0</v>
      </c>
    </row>
    <row r="97" spans="1:30" x14ac:dyDescent="0.2">
      <c r="A97" s="24">
        <v>43583</v>
      </c>
      <c r="B97" s="76"/>
      <c r="C97" s="77"/>
      <c r="D97" s="78"/>
      <c r="E97" s="77"/>
      <c r="F97" s="76"/>
      <c r="G97" s="77"/>
      <c r="H97" s="78"/>
      <c r="I97" s="4"/>
      <c r="J97" s="76"/>
      <c r="K97" s="77"/>
      <c r="L97" s="78"/>
      <c r="M97" s="4"/>
      <c r="N97" s="76"/>
      <c r="O97" s="77"/>
      <c r="P97" s="78"/>
      <c r="Q97" s="4"/>
      <c r="R97" s="76"/>
      <c r="S97" s="77"/>
      <c r="T97" s="78"/>
      <c r="U97" s="4"/>
      <c r="V97" s="76"/>
      <c r="W97" s="77"/>
      <c r="X97" s="78"/>
      <c r="Y97" s="77"/>
      <c r="AA97" s="34">
        <f t="shared" si="2"/>
        <v>0</v>
      </c>
      <c r="AB97" s="39">
        <f t="shared" si="2"/>
        <v>0</v>
      </c>
      <c r="AC97" s="51">
        <f t="shared" si="3"/>
        <v>0</v>
      </c>
    </row>
    <row r="98" spans="1:30" x14ac:dyDescent="0.2">
      <c r="A98" s="23">
        <v>43584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71">
        <f t="shared" si="3"/>
        <v>0</v>
      </c>
    </row>
    <row r="99" spans="1:30" x14ac:dyDescent="0.2">
      <c r="A99" s="23">
        <v>43585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>B99+D99+F99+H99+J99+L99+N99+P99+R99+T99+V99+X99</f>
        <v>0</v>
      </c>
      <c r="AB99" s="69">
        <f>C99+E99+G99+I99+K99+M99+O99+Q99+S99+U99+W99+Y99</f>
        <v>0</v>
      </c>
      <c r="AC99" s="64">
        <f>AA99+AB99</f>
        <v>0</v>
      </c>
      <c r="AD99" s="72">
        <f>SUM(AC98:AC99)</f>
        <v>0</v>
      </c>
    </row>
    <row r="100" spans="1:30" ht="15" thickBot="1" x14ac:dyDescent="0.25">
      <c r="A100" s="23"/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8"/>
      <c r="Y100" s="77"/>
      <c r="AA100" s="52">
        <f>B100+D100+F100+H100+J100+L100+N100+P100+R100+T100+V100+X100</f>
        <v>0</v>
      </c>
      <c r="AB100" s="53">
        <f>C100+E100+G100+I100+K100+M100+O100+Q100+S100+U100+W100+Y100</f>
        <v>0</v>
      </c>
      <c r="AC100" s="54">
        <f>AA100+AB100</f>
        <v>0</v>
      </c>
    </row>
    <row r="101" spans="1:30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</row>
    <row r="105" spans="1:30" x14ac:dyDescent="0.2">
      <c r="B105" s="35" t="s">
        <v>150</v>
      </c>
      <c r="C105" s="36">
        <f>B101+D101+F101+H101+J101+L101+N101+P101+R101+T101+V101+X101</f>
        <v>0</v>
      </c>
    </row>
    <row r="106" spans="1:30" x14ac:dyDescent="0.2">
      <c r="B106" s="37" t="s">
        <v>151</v>
      </c>
      <c r="C106" s="38">
        <f>C101+E101+G101+I101+K101+M101+O101+Q101+S101+U101+W101+Y101</f>
        <v>0</v>
      </c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9F94F-45B7-4453-9636-0704668E5A32}">
  <sheetPr codeName="Foglio13"/>
  <dimension ref="A1:AE107"/>
  <sheetViews>
    <sheetView topLeftCell="A17" zoomScale="70" zoomScaleNormal="70" workbookViewId="0">
      <selection activeCell="AD100" sqref="AD100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8">
        <v>43586</v>
      </c>
      <c r="B1" s="25">
        <v>0</v>
      </c>
      <c r="C1" s="26">
        <v>0</v>
      </c>
      <c r="E1" s="55"/>
      <c r="F1" s="56"/>
    </row>
    <row r="2" spans="1:6" x14ac:dyDescent="0.2">
      <c r="A2" s="87">
        <v>43587</v>
      </c>
      <c r="B2" s="82">
        <v>163.63636363636363</v>
      </c>
      <c r="C2" s="83">
        <v>1350</v>
      </c>
      <c r="E2" s="55"/>
      <c r="F2" s="56"/>
    </row>
    <row r="3" spans="1:6" x14ac:dyDescent="0.2">
      <c r="A3" s="87">
        <v>43588</v>
      </c>
      <c r="B3" s="82">
        <v>163.63636363636363</v>
      </c>
      <c r="C3" s="83">
        <v>1350</v>
      </c>
    </row>
    <row r="4" spans="1:6" x14ac:dyDescent="0.2">
      <c r="A4" s="88">
        <v>43589</v>
      </c>
      <c r="B4" s="25">
        <v>0</v>
      </c>
      <c r="C4" s="26">
        <v>0</v>
      </c>
    </row>
    <row r="5" spans="1:6" x14ac:dyDescent="0.2">
      <c r="A5" s="88">
        <v>43590</v>
      </c>
      <c r="B5" s="25">
        <v>0</v>
      </c>
      <c r="C5" s="26">
        <v>0</v>
      </c>
    </row>
    <row r="6" spans="1:6" x14ac:dyDescent="0.2">
      <c r="A6" s="87">
        <v>43591</v>
      </c>
      <c r="B6" s="82">
        <v>163.63636363636363</v>
      </c>
      <c r="C6" s="83">
        <v>1350</v>
      </c>
    </row>
    <row r="7" spans="1:6" x14ac:dyDescent="0.2">
      <c r="A7" s="87">
        <v>43592</v>
      </c>
      <c r="B7" s="82">
        <v>163.63636363636363</v>
      </c>
      <c r="C7" s="83">
        <v>1350</v>
      </c>
    </row>
    <row r="8" spans="1:6" x14ac:dyDescent="0.2">
      <c r="A8" s="87">
        <v>43593</v>
      </c>
      <c r="B8" s="82">
        <v>163.63636363636363</v>
      </c>
      <c r="C8" s="83">
        <v>1350</v>
      </c>
    </row>
    <row r="9" spans="1:6" x14ac:dyDescent="0.2">
      <c r="A9" s="87">
        <v>43594</v>
      </c>
      <c r="B9" s="82">
        <v>163.63636363636363</v>
      </c>
      <c r="C9" s="83">
        <v>1350</v>
      </c>
      <c r="E9" s="29" t="s">
        <v>148</v>
      </c>
      <c r="F9" s="30">
        <f>SUM(B2:B10)</f>
        <v>1145.4545454545455</v>
      </c>
    </row>
    <row r="10" spans="1:6" x14ac:dyDescent="0.2">
      <c r="A10" s="87">
        <v>43595</v>
      </c>
      <c r="B10" s="82">
        <v>163.63636363636363</v>
      </c>
      <c r="C10" s="83">
        <v>1350</v>
      </c>
      <c r="E10" s="29" t="s">
        <v>149</v>
      </c>
      <c r="F10" s="31">
        <f>F9/7</f>
        <v>163.63636363636365</v>
      </c>
    </row>
    <row r="11" spans="1:6" x14ac:dyDescent="0.2">
      <c r="A11" s="88">
        <v>43596</v>
      </c>
      <c r="B11" s="25">
        <v>0</v>
      </c>
      <c r="C11" s="26">
        <v>0</v>
      </c>
    </row>
    <row r="12" spans="1:6" x14ac:dyDescent="0.2">
      <c r="A12" s="88">
        <v>43597</v>
      </c>
      <c r="B12" s="25">
        <v>0</v>
      </c>
      <c r="C12" s="26">
        <v>0</v>
      </c>
    </row>
    <row r="13" spans="1:6" x14ac:dyDescent="0.2">
      <c r="A13" s="87">
        <v>43598</v>
      </c>
      <c r="B13" s="82">
        <v>163.63636363636363</v>
      </c>
      <c r="C13" s="83">
        <v>1350</v>
      </c>
    </row>
    <row r="14" spans="1:6" x14ac:dyDescent="0.2">
      <c r="A14" s="87">
        <v>43599</v>
      </c>
      <c r="B14" s="82">
        <v>163.63636363636363</v>
      </c>
      <c r="C14" s="83">
        <v>1350</v>
      </c>
    </row>
    <row r="15" spans="1:6" x14ac:dyDescent="0.2">
      <c r="A15" s="87">
        <v>43600</v>
      </c>
      <c r="B15" s="82">
        <v>163.63636363636363</v>
      </c>
      <c r="C15" s="83">
        <v>1350</v>
      </c>
    </row>
    <row r="16" spans="1:6" x14ac:dyDescent="0.2">
      <c r="A16" s="87">
        <v>43601</v>
      </c>
      <c r="B16" s="82">
        <v>163.63636363636363</v>
      </c>
      <c r="C16" s="83">
        <v>1350</v>
      </c>
      <c r="E16" s="29" t="s">
        <v>148</v>
      </c>
      <c r="F16" s="30">
        <f>SUM(B13:B17)</f>
        <v>818.18181818181813</v>
      </c>
    </row>
    <row r="17" spans="1:6" x14ac:dyDescent="0.2">
      <c r="A17" s="87">
        <v>43602</v>
      </c>
      <c r="B17" s="82">
        <v>163.63636363636363</v>
      </c>
      <c r="C17" s="83">
        <v>1350</v>
      </c>
      <c r="E17" s="29" t="s">
        <v>149</v>
      </c>
      <c r="F17" s="32">
        <f>F16/5</f>
        <v>163.63636363636363</v>
      </c>
    </row>
    <row r="18" spans="1:6" x14ac:dyDescent="0.2">
      <c r="A18" s="88">
        <v>43603</v>
      </c>
      <c r="B18" s="25">
        <v>0</v>
      </c>
      <c r="C18" s="26">
        <v>0</v>
      </c>
    </row>
    <row r="19" spans="1:6" x14ac:dyDescent="0.2">
      <c r="A19" s="88">
        <v>43604</v>
      </c>
      <c r="B19" s="25">
        <v>0</v>
      </c>
      <c r="C19" s="26">
        <v>0</v>
      </c>
    </row>
    <row r="20" spans="1:6" x14ac:dyDescent="0.2">
      <c r="A20" s="87">
        <v>43605</v>
      </c>
      <c r="B20" s="82">
        <v>163.63636363636363</v>
      </c>
      <c r="C20" s="83">
        <v>1350</v>
      </c>
    </row>
    <row r="21" spans="1:6" x14ac:dyDescent="0.2">
      <c r="A21" s="87">
        <v>43606</v>
      </c>
      <c r="B21" s="82">
        <v>163.63636363636363</v>
      </c>
      <c r="C21" s="83">
        <v>1350</v>
      </c>
    </row>
    <row r="22" spans="1:6" x14ac:dyDescent="0.2">
      <c r="A22" s="87">
        <v>43607</v>
      </c>
      <c r="B22" s="82">
        <v>163.63636363636363</v>
      </c>
      <c r="C22" s="83">
        <v>1350</v>
      </c>
    </row>
    <row r="23" spans="1:6" x14ac:dyDescent="0.2">
      <c r="A23" s="87">
        <v>43608</v>
      </c>
      <c r="B23" s="82">
        <v>163.63636363636363</v>
      </c>
      <c r="C23" s="83">
        <v>1350</v>
      </c>
      <c r="E23" s="29" t="s">
        <v>148</v>
      </c>
      <c r="F23" s="30">
        <f>SUM(B20:B24)</f>
        <v>818.18181818181813</v>
      </c>
    </row>
    <row r="24" spans="1:6" x14ac:dyDescent="0.2">
      <c r="A24" s="87">
        <v>43609</v>
      </c>
      <c r="B24" s="85">
        <v>163.63636363636363</v>
      </c>
      <c r="C24" s="83">
        <v>1350</v>
      </c>
      <c r="E24" s="29" t="s">
        <v>149</v>
      </c>
      <c r="F24" s="31">
        <f>F23/5</f>
        <v>163.63636363636363</v>
      </c>
    </row>
    <row r="25" spans="1:6" x14ac:dyDescent="0.2">
      <c r="A25" s="88">
        <v>43610</v>
      </c>
      <c r="B25" s="27">
        <v>0</v>
      </c>
      <c r="C25" s="26">
        <v>0</v>
      </c>
    </row>
    <row r="26" spans="1:6" x14ac:dyDescent="0.2">
      <c r="A26" s="88">
        <v>43611</v>
      </c>
      <c r="B26" s="27">
        <v>0</v>
      </c>
      <c r="C26" s="26">
        <v>0</v>
      </c>
    </row>
    <row r="27" spans="1:6" x14ac:dyDescent="0.2">
      <c r="A27" s="87">
        <v>43612</v>
      </c>
      <c r="B27" s="85">
        <v>163.63636363636363</v>
      </c>
      <c r="C27" s="83">
        <v>1350</v>
      </c>
    </row>
    <row r="28" spans="1:6" x14ac:dyDescent="0.2">
      <c r="A28" s="87">
        <v>43613</v>
      </c>
      <c r="B28" s="85">
        <v>163.63636363636363</v>
      </c>
      <c r="C28" s="83">
        <v>1350</v>
      </c>
    </row>
    <row r="29" spans="1:6" x14ac:dyDescent="0.2">
      <c r="A29" s="87">
        <v>43614</v>
      </c>
      <c r="B29" s="85">
        <v>163.63636363636363</v>
      </c>
      <c r="C29" s="83">
        <v>1350</v>
      </c>
    </row>
    <row r="30" spans="1:6" x14ac:dyDescent="0.2">
      <c r="A30" s="87">
        <v>43615</v>
      </c>
      <c r="B30" s="85">
        <v>163.63636363636363</v>
      </c>
      <c r="C30" s="83">
        <v>1350</v>
      </c>
      <c r="E30" s="29" t="s">
        <v>148</v>
      </c>
      <c r="F30" s="30">
        <f>SUM(B27:B31)</f>
        <v>818.18181818181813</v>
      </c>
    </row>
    <row r="31" spans="1:6" x14ac:dyDescent="0.2">
      <c r="A31" s="87">
        <v>43616</v>
      </c>
      <c r="B31" s="85">
        <v>163.63636363636363</v>
      </c>
      <c r="C31" s="83">
        <v>1350</v>
      </c>
      <c r="E31" s="29" t="s">
        <v>149</v>
      </c>
      <c r="F31" s="32">
        <f>F30/5</f>
        <v>163.63636363636363</v>
      </c>
    </row>
    <row r="33" spans="1:3" x14ac:dyDescent="0.2">
      <c r="A33" s="84">
        <v>43586</v>
      </c>
      <c r="B33" s="86">
        <f>B1</f>
        <v>0</v>
      </c>
      <c r="C33" s="86">
        <f>C1</f>
        <v>0</v>
      </c>
    </row>
    <row r="34" spans="1:3" x14ac:dyDescent="0.2">
      <c r="A34" s="84">
        <v>43587</v>
      </c>
      <c r="B34" s="86">
        <f t="shared" ref="B34:C49" si="0">B2+B33</f>
        <v>163.63636363636363</v>
      </c>
      <c r="C34" s="86">
        <f>C2+C33</f>
        <v>1350</v>
      </c>
    </row>
    <row r="35" spans="1:3" x14ac:dyDescent="0.2">
      <c r="A35" s="84">
        <v>43588</v>
      </c>
      <c r="B35" s="86">
        <f t="shared" si="0"/>
        <v>327.27272727272725</v>
      </c>
      <c r="C35" s="86">
        <f t="shared" si="0"/>
        <v>2700</v>
      </c>
    </row>
    <row r="36" spans="1:3" x14ac:dyDescent="0.2">
      <c r="A36" s="24">
        <v>43589</v>
      </c>
      <c r="B36" s="28">
        <f t="shared" si="0"/>
        <v>327.27272727272725</v>
      </c>
      <c r="C36" s="28">
        <f t="shared" si="0"/>
        <v>2700</v>
      </c>
    </row>
    <row r="37" spans="1:3" x14ac:dyDescent="0.2">
      <c r="A37" s="24">
        <v>43590</v>
      </c>
      <c r="B37" s="28">
        <f t="shared" si="0"/>
        <v>327.27272727272725</v>
      </c>
      <c r="C37" s="28">
        <f t="shared" si="0"/>
        <v>2700</v>
      </c>
    </row>
    <row r="38" spans="1:3" x14ac:dyDescent="0.2">
      <c r="A38" s="84">
        <v>43591</v>
      </c>
      <c r="B38" s="86">
        <f t="shared" si="0"/>
        <v>490.90909090909088</v>
      </c>
      <c r="C38" s="86">
        <f t="shared" si="0"/>
        <v>4050</v>
      </c>
    </row>
    <row r="39" spans="1:3" x14ac:dyDescent="0.2">
      <c r="A39" s="84">
        <v>43592</v>
      </c>
      <c r="B39" s="86">
        <f t="shared" si="0"/>
        <v>654.5454545454545</v>
      </c>
      <c r="C39" s="86">
        <f t="shared" si="0"/>
        <v>5400</v>
      </c>
    </row>
    <row r="40" spans="1:3" x14ac:dyDescent="0.2">
      <c r="A40" s="84">
        <v>43593</v>
      </c>
      <c r="B40" s="86">
        <f t="shared" si="0"/>
        <v>818.18181818181813</v>
      </c>
      <c r="C40" s="86">
        <f t="shared" si="0"/>
        <v>6750</v>
      </c>
    </row>
    <row r="41" spans="1:3" x14ac:dyDescent="0.2">
      <c r="A41" s="84">
        <v>43594</v>
      </c>
      <c r="B41" s="86">
        <f t="shared" si="0"/>
        <v>981.81818181818176</v>
      </c>
      <c r="C41" s="86">
        <f t="shared" si="0"/>
        <v>8100</v>
      </c>
    </row>
    <row r="42" spans="1:3" x14ac:dyDescent="0.2">
      <c r="A42" s="84">
        <v>43595</v>
      </c>
      <c r="B42" s="86">
        <f t="shared" si="0"/>
        <v>1145.4545454545455</v>
      </c>
      <c r="C42" s="86">
        <f t="shared" si="0"/>
        <v>9450</v>
      </c>
    </row>
    <row r="43" spans="1:3" x14ac:dyDescent="0.2">
      <c r="A43" s="24">
        <v>43596</v>
      </c>
      <c r="B43" s="28">
        <f t="shared" si="0"/>
        <v>1145.4545454545455</v>
      </c>
      <c r="C43" s="28">
        <f t="shared" si="0"/>
        <v>9450</v>
      </c>
    </row>
    <row r="44" spans="1:3" x14ac:dyDescent="0.2">
      <c r="A44" s="24">
        <v>43597</v>
      </c>
      <c r="B44" s="28">
        <f t="shared" si="0"/>
        <v>1145.4545454545455</v>
      </c>
      <c r="C44" s="28">
        <f t="shared" si="0"/>
        <v>9450</v>
      </c>
    </row>
    <row r="45" spans="1:3" x14ac:dyDescent="0.2">
      <c r="A45" s="84">
        <v>43598</v>
      </c>
      <c r="B45" s="86">
        <f t="shared" si="0"/>
        <v>1309.090909090909</v>
      </c>
      <c r="C45" s="86">
        <f t="shared" si="0"/>
        <v>10800</v>
      </c>
    </row>
    <row r="46" spans="1:3" x14ac:dyDescent="0.2">
      <c r="A46" s="84">
        <v>43599</v>
      </c>
      <c r="B46" s="86">
        <f t="shared" si="0"/>
        <v>1472.7272727272725</v>
      </c>
      <c r="C46" s="86">
        <f t="shared" si="0"/>
        <v>12150</v>
      </c>
    </row>
    <row r="47" spans="1:3" x14ac:dyDescent="0.2">
      <c r="A47" s="84">
        <v>43600</v>
      </c>
      <c r="B47" s="86">
        <f t="shared" si="0"/>
        <v>1636.363636363636</v>
      </c>
      <c r="C47" s="86">
        <f t="shared" si="0"/>
        <v>13500</v>
      </c>
    </row>
    <row r="48" spans="1:3" x14ac:dyDescent="0.2">
      <c r="A48" s="84">
        <v>43601</v>
      </c>
      <c r="B48" s="86">
        <f t="shared" si="0"/>
        <v>1799.9999999999995</v>
      </c>
      <c r="C48" s="86">
        <f t="shared" si="0"/>
        <v>14850</v>
      </c>
    </row>
    <row r="49" spans="1:4" x14ac:dyDescent="0.2">
      <c r="A49" s="84">
        <v>43602</v>
      </c>
      <c r="B49" s="86">
        <f t="shared" si="0"/>
        <v>1963.6363636363631</v>
      </c>
      <c r="C49" s="86">
        <f t="shared" si="0"/>
        <v>16200</v>
      </c>
    </row>
    <row r="50" spans="1:4" x14ac:dyDescent="0.2">
      <c r="A50" s="24">
        <v>43603</v>
      </c>
      <c r="B50" s="28">
        <f t="shared" ref="B50:C63" si="1">B18+B49</f>
        <v>1963.6363636363631</v>
      </c>
      <c r="C50" s="28">
        <f t="shared" si="1"/>
        <v>16200</v>
      </c>
    </row>
    <row r="51" spans="1:4" x14ac:dyDescent="0.2">
      <c r="A51" s="24">
        <v>43604</v>
      </c>
      <c r="B51" s="28">
        <f t="shared" si="1"/>
        <v>1963.6363636363631</v>
      </c>
      <c r="C51" s="28">
        <f t="shared" si="1"/>
        <v>16200</v>
      </c>
    </row>
    <row r="52" spans="1:4" x14ac:dyDescent="0.2">
      <c r="A52" s="84">
        <v>43605</v>
      </c>
      <c r="B52" s="86">
        <f t="shared" si="1"/>
        <v>2127.2727272727266</v>
      </c>
      <c r="C52" s="86">
        <f t="shared" si="1"/>
        <v>17550</v>
      </c>
    </row>
    <row r="53" spans="1:4" x14ac:dyDescent="0.2">
      <c r="A53" s="84">
        <v>43606</v>
      </c>
      <c r="B53" s="86">
        <f t="shared" si="1"/>
        <v>2290.9090909090901</v>
      </c>
      <c r="C53" s="86">
        <f t="shared" si="1"/>
        <v>18900</v>
      </c>
    </row>
    <row r="54" spans="1:4" x14ac:dyDescent="0.2">
      <c r="A54" s="84">
        <v>43607</v>
      </c>
      <c r="B54" s="86">
        <f t="shared" si="1"/>
        <v>2454.5454545454536</v>
      </c>
      <c r="C54" s="86">
        <f t="shared" si="1"/>
        <v>20250</v>
      </c>
    </row>
    <row r="55" spans="1:4" x14ac:dyDescent="0.2">
      <c r="A55" s="84">
        <v>43608</v>
      </c>
      <c r="B55" s="86">
        <f t="shared" si="1"/>
        <v>2618.1818181818171</v>
      </c>
      <c r="C55" s="86">
        <f t="shared" si="1"/>
        <v>21600</v>
      </c>
    </row>
    <row r="56" spans="1:4" x14ac:dyDescent="0.2">
      <c r="A56" s="84">
        <v>43609</v>
      </c>
      <c r="B56" s="86">
        <f t="shared" si="1"/>
        <v>2781.8181818181806</v>
      </c>
      <c r="C56" s="86">
        <f t="shared" si="1"/>
        <v>22950</v>
      </c>
    </row>
    <row r="57" spans="1:4" x14ac:dyDescent="0.2">
      <c r="A57" s="24">
        <v>43610</v>
      </c>
      <c r="B57" s="28">
        <f t="shared" si="1"/>
        <v>2781.8181818181806</v>
      </c>
      <c r="C57" s="28">
        <f t="shared" si="1"/>
        <v>22950</v>
      </c>
    </row>
    <row r="58" spans="1:4" x14ac:dyDescent="0.2">
      <c r="A58" s="24">
        <v>43611</v>
      </c>
      <c r="B58" s="28">
        <f t="shared" si="1"/>
        <v>2781.8181818181806</v>
      </c>
      <c r="C58" s="28">
        <f t="shared" si="1"/>
        <v>22950</v>
      </c>
    </row>
    <row r="59" spans="1:4" x14ac:dyDescent="0.2">
      <c r="A59" s="84">
        <v>43612</v>
      </c>
      <c r="B59" s="86">
        <f t="shared" si="1"/>
        <v>2945.4545454545441</v>
      </c>
      <c r="C59" s="86">
        <f t="shared" si="1"/>
        <v>24300</v>
      </c>
    </row>
    <row r="60" spans="1:4" x14ac:dyDescent="0.2">
      <c r="A60" s="84">
        <v>43613</v>
      </c>
      <c r="B60" s="86">
        <f t="shared" si="1"/>
        <v>3109.0909090909076</v>
      </c>
      <c r="C60" s="86">
        <f>C28+C59</f>
        <v>25650</v>
      </c>
    </row>
    <row r="61" spans="1:4" x14ac:dyDescent="0.2">
      <c r="A61" s="84">
        <v>43614</v>
      </c>
      <c r="B61" s="86">
        <f t="shared" si="1"/>
        <v>3272.7272727272712</v>
      </c>
      <c r="C61" s="86">
        <f t="shared" si="1"/>
        <v>27000</v>
      </c>
    </row>
    <row r="62" spans="1:4" x14ac:dyDescent="0.2">
      <c r="A62" s="84">
        <v>43615</v>
      </c>
      <c r="B62" s="86">
        <f t="shared" si="1"/>
        <v>3436.3636363636347</v>
      </c>
      <c r="C62" s="86">
        <f t="shared" si="1"/>
        <v>28350</v>
      </c>
      <c r="D62" s="81"/>
    </row>
    <row r="63" spans="1:4" x14ac:dyDescent="0.2">
      <c r="A63" s="84">
        <v>43616</v>
      </c>
      <c r="B63" s="86">
        <f t="shared" si="1"/>
        <v>3599.9999999999982</v>
      </c>
      <c r="C63" s="86">
        <f t="shared" si="1"/>
        <v>29700</v>
      </c>
      <c r="D63" s="81">
        <f>B63-C63</f>
        <v>-26100</v>
      </c>
    </row>
    <row r="67" spans="1:31" ht="15" thickBot="1" x14ac:dyDescent="0.25"/>
    <row r="68" spans="1:31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1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  <c r="AD69" s="91"/>
      <c r="AE69" s="91"/>
    </row>
    <row r="70" spans="1:31" x14ac:dyDescent="0.2">
      <c r="A70" s="24">
        <v>43586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69">
        <f>C70+E70+G70+I70+K70+M70+O70+Q70+S70+U70+W70+Y70</f>
        <v>0</v>
      </c>
      <c r="AC70" s="64">
        <f>AA70+AB70</f>
        <v>0</v>
      </c>
      <c r="AD70" s="90"/>
      <c r="AE70" s="90"/>
    </row>
    <row r="71" spans="1:31" x14ac:dyDescent="0.2">
      <c r="A71" s="23">
        <v>43587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69">
        <f t="shared" si="2"/>
        <v>0</v>
      </c>
      <c r="AC71" s="64">
        <f t="shared" ref="AC71:AC98" si="3">AA71+AB71</f>
        <v>0</v>
      </c>
      <c r="AD71" s="90"/>
      <c r="AE71" s="90"/>
    </row>
    <row r="72" spans="1:31" x14ac:dyDescent="0.2">
      <c r="A72" s="23">
        <v>43588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71">
        <f t="shared" si="3"/>
        <v>0</v>
      </c>
      <c r="AD72" s="72">
        <f>SUM(AC70:AC72)</f>
        <v>0</v>
      </c>
      <c r="AE72" s="90"/>
    </row>
    <row r="73" spans="1:31" x14ac:dyDescent="0.2">
      <c r="A73" s="24">
        <v>43589</v>
      </c>
      <c r="B73" s="76"/>
      <c r="C73" s="77"/>
      <c r="D73" s="78"/>
      <c r="E73" s="77"/>
      <c r="F73" s="76"/>
      <c r="G73" s="77"/>
      <c r="H73" s="78"/>
      <c r="I73" s="4"/>
      <c r="J73" s="76"/>
      <c r="K73" s="77"/>
      <c r="L73" s="78"/>
      <c r="M73" s="4"/>
      <c r="N73" s="76"/>
      <c r="O73" s="77"/>
      <c r="P73" s="78"/>
      <c r="Q73" s="4"/>
      <c r="R73" s="76"/>
      <c r="S73" s="77"/>
      <c r="T73" s="78"/>
      <c r="U73" s="4"/>
      <c r="V73" s="76"/>
      <c r="W73" s="77"/>
      <c r="X73" s="78"/>
      <c r="Y73" s="77"/>
      <c r="AA73" s="34">
        <f t="shared" si="2"/>
        <v>0</v>
      </c>
      <c r="AB73" s="39">
        <f t="shared" si="2"/>
        <v>0</v>
      </c>
      <c r="AC73" s="51">
        <f t="shared" si="3"/>
        <v>0</v>
      </c>
      <c r="AD73" s="90"/>
      <c r="AE73" s="90"/>
    </row>
    <row r="74" spans="1:31" x14ac:dyDescent="0.2">
      <c r="A74" s="24">
        <v>43590</v>
      </c>
      <c r="B74" s="76"/>
      <c r="C74" s="77"/>
      <c r="D74" s="78"/>
      <c r="E74" s="77"/>
      <c r="F74" s="76"/>
      <c r="G74" s="77"/>
      <c r="H74" s="78"/>
      <c r="I74" s="4"/>
      <c r="J74" s="76"/>
      <c r="K74" s="77"/>
      <c r="L74" s="78"/>
      <c r="M74" s="4"/>
      <c r="N74" s="76"/>
      <c r="O74" s="77"/>
      <c r="P74" s="78"/>
      <c r="Q74" s="4"/>
      <c r="R74" s="76"/>
      <c r="S74" s="77"/>
      <c r="T74" s="78"/>
      <c r="U74" s="4"/>
      <c r="V74" s="76"/>
      <c r="W74" s="77"/>
      <c r="X74" s="78"/>
      <c r="Y74" s="77"/>
      <c r="AA74" s="34">
        <f t="shared" si="2"/>
        <v>0</v>
      </c>
      <c r="AB74" s="39">
        <f t="shared" si="2"/>
        <v>0</v>
      </c>
      <c r="AC74" s="51">
        <f t="shared" si="3"/>
        <v>0</v>
      </c>
      <c r="AD74" s="90"/>
      <c r="AE74" s="90"/>
    </row>
    <row r="75" spans="1:31" x14ac:dyDescent="0.2">
      <c r="A75" s="23">
        <v>43591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  <c r="AD75" s="90"/>
      <c r="AE75" s="90"/>
    </row>
    <row r="76" spans="1:31" x14ac:dyDescent="0.2">
      <c r="A76" s="23">
        <v>43592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64">
        <f t="shared" si="3"/>
        <v>0</v>
      </c>
      <c r="AD76" s="90"/>
      <c r="AE76" s="90"/>
    </row>
    <row r="77" spans="1:31" x14ac:dyDescent="0.2">
      <c r="A77" s="23">
        <v>43593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69">
        <f t="shared" si="2"/>
        <v>0</v>
      </c>
      <c r="AC77" s="64">
        <f t="shared" si="3"/>
        <v>0</v>
      </c>
      <c r="AE77" s="90"/>
    </row>
    <row r="78" spans="1:31" x14ac:dyDescent="0.2">
      <c r="A78" s="23">
        <v>43594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69">
        <f t="shared" si="2"/>
        <v>0</v>
      </c>
      <c r="AC78" s="64">
        <f t="shared" si="3"/>
        <v>0</v>
      </c>
      <c r="AD78" s="90"/>
      <c r="AE78" s="90"/>
    </row>
    <row r="79" spans="1:31" x14ac:dyDescent="0.2">
      <c r="A79" s="23">
        <v>43595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71">
        <f t="shared" si="3"/>
        <v>0</v>
      </c>
      <c r="AD79" s="72">
        <f>SUM(AC75:AC79)</f>
        <v>0</v>
      </c>
      <c r="AE79" s="90"/>
    </row>
    <row r="80" spans="1:31" x14ac:dyDescent="0.2">
      <c r="A80" s="24">
        <v>43596</v>
      </c>
      <c r="B80" s="76"/>
      <c r="C80" s="77"/>
      <c r="D80" s="4"/>
      <c r="E80" s="77"/>
      <c r="F80" s="76"/>
      <c r="G80" s="77"/>
      <c r="H80" s="78"/>
      <c r="I80" s="4"/>
      <c r="J80" s="76"/>
      <c r="K80" s="77"/>
      <c r="L80" s="78"/>
      <c r="M80" s="4"/>
      <c r="N80" s="76"/>
      <c r="O80" s="77"/>
      <c r="P80" s="78"/>
      <c r="Q80" s="4"/>
      <c r="R80" s="76"/>
      <c r="S80" s="77"/>
      <c r="T80" s="78"/>
      <c r="U80" s="4"/>
      <c r="V80" s="76"/>
      <c r="W80" s="77"/>
      <c r="X80" s="78"/>
      <c r="Y80" s="77"/>
      <c r="AA80" s="34">
        <f t="shared" si="2"/>
        <v>0</v>
      </c>
      <c r="AB80" s="39">
        <f t="shared" si="2"/>
        <v>0</v>
      </c>
      <c r="AC80" s="51">
        <f t="shared" si="3"/>
        <v>0</v>
      </c>
      <c r="AD80" s="90"/>
      <c r="AE80" s="90"/>
    </row>
    <row r="81" spans="1:31" x14ac:dyDescent="0.2">
      <c r="A81" s="24">
        <v>43597</v>
      </c>
      <c r="B81" s="76"/>
      <c r="C81" s="77"/>
      <c r="D81" s="78"/>
      <c r="E81" s="77"/>
      <c r="F81" s="76"/>
      <c r="G81" s="77"/>
      <c r="H81" s="78"/>
      <c r="I81" s="4"/>
      <c r="J81" s="76"/>
      <c r="K81" s="77"/>
      <c r="L81" s="78"/>
      <c r="M81" s="4"/>
      <c r="N81" s="76"/>
      <c r="O81" s="77"/>
      <c r="P81" s="78"/>
      <c r="Q81" s="4"/>
      <c r="R81" s="76"/>
      <c r="S81" s="77"/>
      <c r="T81" s="78"/>
      <c r="U81" s="4"/>
      <c r="V81" s="76"/>
      <c r="W81" s="77"/>
      <c r="X81" s="78"/>
      <c r="Y81" s="77"/>
      <c r="AA81" s="34">
        <f t="shared" si="2"/>
        <v>0</v>
      </c>
      <c r="AB81" s="39">
        <f t="shared" si="2"/>
        <v>0</v>
      </c>
      <c r="AC81" s="51">
        <f t="shared" si="3"/>
        <v>0</v>
      </c>
      <c r="AD81" s="90"/>
      <c r="AE81" s="90"/>
    </row>
    <row r="82" spans="1:31" x14ac:dyDescent="0.2">
      <c r="A82" s="23">
        <v>43598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  <c r="AD82" s="90"/>
      <c r="AE82" s="90"/>
    </row>
    <row r="83" spans="1:31" x14ac:dyDescent="0.2">
      <c r="A83" s="23">
        <v>43599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64">
        <f t="shared" si="3"/>
        <v>0</v>
      </c>
      <c r="AD83" s="90"/>
      <c r="AE83" s="90"/>
    </row>
    <row r="84" spans="1:31" x14ac:dyDescent="0.2">
      <c r="A84" s="23">
        <v>43600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69">
        <f t="shared" si="2"/>
        <v>0</v>
      </c>
      <c r="AC84" s="64">
        <f t="shared" si="3"/>
        <v>0</v>
      </c>
      <c r="AE84" s="90"/>
    </row>
    <row r="85" spans="1:31" x14ac:dyDescent="0.2">
      <c r="A85" s="23">
        <v>43601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69">
        <f t="shared" si="2"/>
        <v>0</v>
      </c>
      <c r="AC85" s="64">
        <f t="shared" si="3"/>
        <v>0</v>
      </c>
      <c r="AD85" s="90"/>
      <c r="AE85" s="90"/>
    </row>
    <row r="86" spans="1:31" x14ac:dyDescent="0.2">
      <c r="A86" s="23">
        <v>43602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71">
        <f t="shared" si="3"/>
        <v>0</v>
      </c>
      <c r="AD86" s="72">
        <f>SUM(AC82:AC86)</f>
        <v>0</v>
      </c>
      <c r="AE86" s="90"/>
    </row>
    <row r="87" spans="1:31" x14ac:dyDescent="0.2">
      <c r="A87" s="24">
        <v>43603</v>
      </c>
      <c r="B87" s="76"/>
      <c r="C87" s="77"/>
      <c r="D87" s="78"/>
      <c r="E87" s="77"/>
      <c r="F87" s="76"/>
      <c r="G87" s="77"/>
      <c r="H87" s="78"/>
      <c r="I87" s="4"/>
      <c r="J87" s="76"/>
      <c r="K87" s="77"/>
      <c r="L87" s="78"/>
      <c r="M87" s="4"/>
      <c r="N87" s="76"/>
      <c r="O87" s="77"/>
      <c r="P87" s="78"/>
      <c r="Q87" s="4"/>
      <c r="R87" s="76"/>
      <c r="S87" s="77"/>
      <c r="T87" s="78"/>
      <c r="U87" s="4"/>
      <c r="V87" s="76"/>
      <c r="W87" s="77"/>
      <c r="X87" s="78"/>
      <c r="Y87" s="77"/>
      <c r="AA87" s="34">
        <f t="shared" si="2"/>
        <v>0</v>
      </c>
      <c r="AB87" s="39">
        <f t="shared" si="2"/>
        <v>0</v>
      </c>
      <c r="AC87" s="51">
        <f t="shared" si="3"/>
        <v>0</v>
      </c>
      <c r="AD87" s="90"/>
      <c r="AE87" s="90"/>
    </row>
    <row r="88" spans="1:31" x14ac:dyDescent="0.2">
      <c r="A88" s="24">
        <v>43604</v>
      </c>
      <c r="B88" s="76"/>
      <c r="C88" s="77"/>
      <c r="D88" s="78"/>
      <c r="E88" s="77"/>
      <c r="F88" s="76"/>
      <c r="G88" s="77"/>
      <c r="H88" s="78"/>
      <c r="I88" s="4"/>
      <c r="J88" s="76"/>
      <c r="K88" s="77"/>
      <c r="L88" s="78"/>
      <c r="M88" s="4"/>
      <c r="N88" s="76"/>
      <c r="O88" s="77"/>
      <c r="P88" s="78"/>
      <c r="Q88" s="4"/>
      <c r="R88" s="76"/>
      <c r="S88" s="77"/>
      <c r="T88" s="78"/>
      <c r="U88" s="4"/>
      <c r="V88" s="76"/>
      <c r="W88" s="77"/>
      <c r="X88" s="78"/>
      <c r="Y88" s="77"/>
      <c r="AA88" s="34">
        <f t="shared" si="2"/>
        <v>0</v>
      </c>
      <c r="AB88" s="39">
        <f t="shared" si="2"/>
        <v>0</v>
      </c>
      <c r="AC88" s="51">
        <f t="shared" si="3"/>
        <v>0</v>
      </c>
      <c r="AD88" s="90"/>
      <c r="AE88" s="90"/>
    </row>
    <row r="89" spans="1:31" x14ac:dyDescent="0.2">
      <c r="A89" s="23">
        <v>43605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  <c r="AD89" s="90"/>
      <c r="AE89" s="90"/>
    </row>
    <row r="90" spans="1:31" x14ac:dyDescent="0.2">
      <c r="A90" s="23">
        <v>43606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64">
        <f t="shared" si="3"/>
        <v>0</v>
      </c>
      <c r="AD90" s="90"/>
      <c r="AE90" s="90"/>
    </row>
    <row r="91" spans="1:31" x14ac:dyDescent="0.2">
      <c r="A91" s="23">
        <v>43607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69">
        <f t="shared" si="2"/>
        <v>0</v>
      </c>
      <c r="AC91" s="64">
        <f t="shared" si="3"/>
        <v>0</v>
      </c>
      <c r="AE91" s="90"/>
    </row>
    <row r="92" spans="1:31" x14ac:dyDescent="0.2">
      <c r="A92" s="23">
        <v>43608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69">
        <f t="shared" si="2"/>
        <v>0</v>
      </c>
      <c r="AC92" s="64">
        <f t="shared" si="3"/>
        <v>0</v>
      </c>
      <c r="AD92" s="90"/>
      <c r="AE92" s="90"/>
    </row>
    <row r="93" spans="1:31" x14ac:dyDescent="0.2">
      <c r="A93" s="23">
        <v>43609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71">
        <f t="shared" si="3"/>
        <v>0</v>
      </c>
      <c r="AD93" s="72">
        <f>SUM(AC89:AC93)</f>
        <v>0</v>
      </c>
      <c r="AE93" s="90"/>
    </row>
    <row r="94" spans="1:31" x14ac:dyDescent="0.2">
      <c r="A94" s="24">
        <v>43610</v>
      </c>
      <c r="B94" s="76"/>
      <c r="C94" s="77"/>
      <c r="D94" s="78"/>
      <c r="E94" s="77"/>
      <c r="F94" s="76"/>
      <c r="G94" s="77"/>
      <c r="H94" s="78"/>
      <c r="I94" s="4"/>
      <c r="J94" s="76"/>
      <c r="K94" s="77"/>
      <c r="L94" s="78"/>
      <c r="M94" s="4"/>
      <c r="N94" s="76"/>
      <c r="O94" s="77"/>
      <c r="P94" s="78"/>
      <c r="Q94" s="4"/>
      <c r="R94" s="76"/>
      <c r="S94" s="77"/>
      <c r="T94" s="78"/>
      <c r="U94" s="4"/>
      <c r="V94" s="76"/>
      <c r="W94" s="77"/>
      <c r="X94" s="78"/>
      <c r="Y94" s="77"/>
      <c r="AA94" s="34">
        <f t="shared" si="2"/>
        <v>0</v>
      </c>
      <c r="AB94" s="39">
        <f t="shared" si="2"/>
        <v>0</v>
      </c>
      <c r="AC94" s="51">
        <f t="shared" si="3"/>
        <v>0</v>
      </c>
      <c r="AD94" s="90"/>
      <c r="AE94" s="90"/>
    </row>
    <row r="95" spans="1:31" x14ac:dyDescent="0.2">
      <c r="A95" s="24">
        <v>43611</v>
      </c>
      <c r="B95" s="76"/>
      <c r="C95" s="77"/>
      <c r="D95" s="78"/>
      <c r="E95" s="77"/>
      <c r="F95" s="76"/>
      <c r="G95" s="77"/>
      <c r="H95" s="78"/>
      <c r="I95" s="4"/>
      <c r="J95" s="76"/>
      <c r="K95" s="77"/>
      <c r="L95" s="78"/>
      <c r="M95" s="4"/>
      <c r="N95" s="76"/>
      <c r="O95" s="77"/>
      <c r="P95" s="78"/>
      <c r="Q95" s="4"/>
      <c r="R95" s="76"/>
      <c r="S95" s="77"/>
      <c r="T95" s="78"/>
      <c r="U95" s="4"/>
      <c r="V95" s="76"/>
      <c r="W95" s="77"/>
      <c r="X95" s="78"/>
      <c r="Y95" s="77"/>
      <c r="AA95" s="34">
        <f t="shared" si="2"/>
        <v>0</v>
      </c>
      <c r="AB95" s="39">
        <f t="shared" si="2"/>
        <v>0</v>
      </c>
      <c r="AC95" s="51">
        <f t="shared" si="3"/>
        <v>0</v>
      </c>
      <c r="AD95" s="90"/>
      <c r="AE95" s="90"/>
    </row>
    <row r="96" spans="1:31" x14ac:dyDescent="0.2">
      <c r="A96" s="23">
        <v>43612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  <c r="AD96" s="90"/>
      <c r="AE96" s="90"/>
    </row>
    <row r="97" spans="1:31" x14ac:dyDescent="0.2">
      <c r="A97" s="23">
        <v>43613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64">
        <f t="shared" si="3"/>
        <v>0</v>
      </c>
      <c r="AD97" s="90"/>
      <c r="AE97" s="90"/>
    </row>
    <row r="98" spans="1:31" x14ac:dyDescent="0.2">
      <c r="A98" s="23">
        <v>43614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69">
        <f t="shared" si="2"/>
        <v>0</v>
      </c>
      <c r="AC98" s="64">
        <f t="shared" si="3"/>
        <v>0</v>
      </c>
      <c r="AE98" s="90"/>
    </row>
    <row r="99" spans="1:31" x14ac:dyDescent="0.2">
      <c r="A99" s="23">
        <v>43615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>B99+D99+F99+H99+J99+L99+N99+P99+R99+T99+V99+X99</f>
        <v>0</v>
      </c>
      <c r="AB99" s="69">
        <f>C99+E99+G99+I99+K99+M99+O99+Q99+S99+U99+W99+Y99</f>
        <v>0</v>
      </c>
      <c r="AC99" s="64">
        <f>AA99+AB99</f>
        <v>0</v>
      </c>
      <c r="AD99" s="90"/>
      <c r="AE99" s="90"/>
    </row>
    <row r="100" spans="1:31" ht="15" thickBot="1" x14ac:dyDescent="0.25">
      <c r="A100" s="23">
        <v>43616</v>
      </c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8">
        <f>B100+D100+F100+H100+J100+L100+N100+P100+R100+T100+V100+X100</f>
        <v>0</v>
      </c>
      <c r="AB100" s="70">
        <f>C100+E100+G100+I100+K100+M100+O100+Q100+S100+U100+W100+Y100</f>
        <v>0</v>
      </c>
      <c r="AC100" s="92">
        <f>AA100+AB100</f>
        <v>0</v>
      </c>
      <c r="AD100" s="72">
        <f>SUM(AC96:AC100)</f>
        <v>0</v>
      </c>
      <c r="AE100" s="90"/>
    </row>
    <row r="101" spans="1:31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  <c r="AD101" s="90"/>
      <c r="AE101" s="90"/>
    </row>
    <row r="102" spans="1:31" x14ac:dyDescent="0.2">
      <c r="AD102" s="90"/>
      <c r="AE102" s="90"/>
    </row>
    <row r="103" spans="1:31" x14ac:dyDescent="0.2">
      <c r="AD103" s="90"/>
      <c r="AE103" s="90"/>
    </row>
    <row r="104" spans="1:31" x14ac:dyDescent="0.2">
      <c r="AD104" s="89"/>
      <c r="AE104" s="89"/>
    </row>
    <row r="105" spans="1:31" x14ac:dyDescent="0.2">
      <c r="B105" s="35" t="s">
        <v>150</v>
      </c>
      <c r="C105" s="36">
        <f>B101+D101+F101+H101+J101+L101+N101+P101+R101+T101+V101+X101</f>
        <v>0</v>
      </c>
      <c r="AD105" s="89"/>
      <c r="AE105" s="89"/>
    </row>
    <row r="106" spans="1:31" x14ac:dyDescent="0.2">
      <c r="B106" s="37" t="s">
        <v>151</v>
      </c>
      <c r="C106" s="38">
        <f>C101+E101+G101+I101+K101+M101+O101+Q101+S101+U101+W101+Y101</f>
        <v>0</v>
      </c>
      <c r="AD106" s="89"/>
      <c r="AE106" s="89"/>
    </row>
    <row r="107" spans="1:31" x14ac:dyDescent="0.2">
      <c r="AD107" s="89"/>
      <c r="AE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D9FC0-5763-490E-9EEF-1D2B34BF0750}">
  <sheetPr codeName="Foglio22"/>
  <dimension ref="A1:AE107"/>
  <sheetViews>
    <sheetView topLeftCell="A22" zoomScale="70" zoomScaleNormal="70" workbookViewId="0">
      <selection activeCell="AD97" sqref="AD97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8">
        <v>43617</v>
      </c>
      <c r="B1" s="25">
        <v>0</v>
      </c>
      <c r="C1" s="26">
        <v>0</v>
      </c>
      <c r="E1" s="55"/>
      <c r="F1" s="56"/>
    </row>
    <row r="2" spans="1:6" x14ac:dyDescent="0.2">
      <c r="A2" s="88">
        <v>43618</v>
      </c>
      <c r="B2" s="25">
        <v>0</v>
      </c>
      <c r="C2" s="26">
        <v>0</v>
      </c>
      <c r="E2" s="55"/>
      <c r="F2" s="56"/>
    </row>
    <row r="3" spans="1:6" x14ac:dyDescent="0.2">
      <c r="A3" s="87">
        <v>43619</v>
      </c>
      <c r="B3" s="82">
        <v>180</v>
      </c>
      <c r="C3" s="83">
        <v>1350</v>
      </c>
    </row>
    <row r="4" spans="1:6" x14ac:dyDescent="0.2">
      <c r="A4" s="87">
        <v>43620</v>
      </c>
      <c r="B4" s="82">
        <v>180</v>
      </c>
      <c r="C4" s="83">
        <v>1350</v>
      </c>
    </row>
    <row r="5" spans="1:6" x14ac:dyDescent="0.2">
      <c r="A5" s="87">
        <v>43621</v>
      </c>
      <c r="B5" s="82">
        <v>180</v>
      </c>
      <c r="C5" s="83">
        <v>1350</v>
      </c>
    </row>
    <row r="6" spans="1:6" x14ac:dyDescent="0.2">
      <c r="A6" s="87">
        <v>43622</v>
      </c>
      <c r="B6" s="82">
        <v>180</v>
      </c>
      <c r="C6" s="83">
        <v>1350</v>
      </c>
    </row>
    <row r="7" spans="1:6" x14ac:dyDescent="0.2">
      <c r="A7" s="87">
        <v>43623</v>
      </c>
      <c r="B7" s="82">
        <v>180</v>
      </c>
      <c r="C7" s="83">
        <v>1350</v>
      </c>
    </row>
    <row r="8" spans="1:6" x14ac:dyDescent="0.2">
      <c r="A8" s="88">
        <v>43624</v>
      </c>
      <c r="B8" s="25">
        <v>0</v>
      </c>
      <c r="C8" s="26">
        <v>0</v>
      </c>
      <c r="E8" s="29" t="s">
        <v>148</v>
      </c>
      <c r="F8" s="30">
        <f>SUM(B3:B7)</f>
        <v>900</v>
      </c>
    </row>
    <row r="9" spans="1:6" x14ac:dyDescent="0.2">
      <c r="A9" s="88">
        <v>43625</v>
      </c>
      <c r="B9" s="25">
        <v>0</v>
      </c>
      <c r="C9" s="26">
        <v>0</v>
      </c>
      <c r="E9" s="29" t="s">
        <v>149</v>
      </c>
      <c r="F9" s="32">
        <f>F8/5</f>
        <v>180</v>
      </c>
    </row>
    <row r="10" spans="1:6" x14ac:dyDescent="0.2">
      <c r="A10" s="87">
        <v>43626</v>
      </c>
      <c r="B10" s="82">
        <v>180</v>
      </c>
      <c r="C10" s="83">
        <v>1350</v>
      </c>
    </row>
    <row r="11" spans="1:6" x14ac:dyDescent="0.2">
      <c r="A11" s="87">
        <v>43627</v>
      </c>
      <c r="B11" s="82">
        <v>180</v>
      </c>
      <c r="C11" s="83">
        <v>1350</v>
      </c>
    </row>
    <row r="12" spans="1:6" x14ac:dyDescent="0.2">
      <c r="A12" s="87">
        <v>43628</v>
      </c>
      <c r="B12" s="82">
        <v>180</v>
      </c>
      <c r="C12" s="83">
        <v>1350</v>
      </c>
    </row>
    <row r="13" spans="1:6" x14ac:dyDescent="0.2">
      <c r="A13" s="87">
        <v>43629</v>
      </c>
      <c r="B13" s="82">
        <v>180</v>
      </c>
      <c r="C13" s="83">
        <v>1350</v>
      </c>
    </row>
    <row r="14" spans="1:6" x14ac:dyDescent="0.2">
      <c r="A14" s="87">
        <v>43630</v>
      </c>
      <c r="B14" s="82">
        <v>180</v>
      </c>
      <c r="C14" s="83">
        <v>1350</v>
      </c>
    </row>
    <row r="15" spans="1:6" x14ac:dyDescent="0.2">
      <c r="A15" s="88">
        <v>43631</v>
      </c>
      <c r="B15" s="25">
        <v>0</v>
      </c>
      <c r="C15" s="26">
        <v>0</v>
      </c>
      <c r="E15" s="29" t="s">
        <v>148</v>
      </c>
      <c r="F15" s="30">
        <f>SUM(B10:B14)</f>
        <v>900</v>
      </c>
    </row>
    <row r="16" spans="1:6" x14ac:dyDescent="0.2">
      <c r="A16" s="88">
        <v>43632</v>
      </c>
      <c r="B16" s="25">
        <v>0</v>
      </c>
      <c r="C16" s="26">
        <v>0</v>
      </c>
      <c r="E16" s="29" t="s">
        <v>149</v>
      </c>
      <c r="F16" s="31">
        <f>F15/5</f>
        <v>180</v>
      </c>
    </row>
    <row r="17" spans="1:6" x14ac:dyDescent="0.2">
      <c r="A17" s="87">
        <v>43633</v>
      </c>
      <c r="B17" s="82">
        <v>180</v>
      </c>
      <c r="C17" s="83">
        <v>1350</v>
      </c>
    </row>
    <row r="18" spans="1:6" x14ac:dyDescent="0.2">
      <c r="A18" s="87">
        <v>43634</v>
      </c>
      <c r="B18" s="82">
        <v>180</v>
      </c>
      <c r="C18" s="83">
        <v>1350</v>
      </c>
    </row>
    <row r="19" spans="1:6" x14ac:dyDescent="0.2">
      <c r="A19" s="87">
        <v>43635</v>
      </c>
      <c r="B19" s="82">
        <v>180</v>
      </c>
      <c r="C19" s="83">
        <v>1350</v>
      </c>
    </row>
    <row r="20" spans="1:6" x14ac:dyDescent="0.2">
      <c r="A20" s="87">
        <v>43636</v>
      </c>
      <c r="B20" s="82">
        <v>180</v>
      </c>
      <c r="C20" s="83">
        <v>1350</v>
      </c>
    </row>
    <row r="21" spans="1:6" x14ac:dyDescent="0.2">
      <c r="A21" s="87">
        <v>43637</v>
      </c>
      <c r="B21" s="82">
        <v>180</v>
      </c>
      <c r="C21" s="83">
        <v>1350</v>
      </c>
    </row>
    <row r="22" spans="1:6" x14ac:dyDescent="0.2">
      <c r="A22" s="88">
        <v>43638</v>
      </c>
      <c r="B22" s="25">
        <v>0</v>
      </c>
      <c r="C22" s="26">
        <v>0</v>
      </c>
      <c r="E22" s="29" t="s">
        <v>148</v>
      </c>
      <c r="F22" s="30">
        <f>SUM(B17:B21)</f>
        <v>900</v>
      </c>
    </row>
    <row r="23" spans="1:6" x14ac:dyDescent="0.2">
      <c r="A23" s="88">
        <v>43639</v>
      </c>
      <c r="B23" s="25">
        <v>0</v>
      </c>
      <c r="C23" s="26">
        <v>0</v>
      </c>
      <c r="E23" s="29" t="s">
        <v>149</v>
      </c>
      <c r="F23" s="32">
        <f>F22/5</f>
        <v>180</v>
      </c>
    </row>
    <row r="24" spans="1:6" x14ac:dyDescent="0.2">
      <c r="A24" s="87">
        <v>43640</v>
      </c>
      <c r="B24" s="85">
        <v>180</v>
      </c>
      <c r="C24" s="83">
        <v>1350</v>
      </c>
    </row>
    <row r="25" spans="1:6" x14ac:dyDescent="0.2">
      <c r="A25" s="87">
        <v>43641</v>
      </c>
      <c r="B25" s="85">
        <v>180</v>
      </c>
      <c r="C25" s="83">
        <v>1350</v>
      </c>
    </row>
    <row r="26" spans="1:6" x14ac:dyDescent="0.2">
      <c r="A26" s="87">
        <v>43642</v>
      </c>
      <c r="B26" s="85">
        <v>180</v>
      </c>
      <c r="C26" s="83">
        <v>1350</v>
      </c>
    </row>
    <row r="27" spans="1:6" x14ac:dyDescent="0.2">
      <c r="A27" s="87">
        <v>43643</v>
      </c>
      <c r="B27" s="85">
        <v>180</v>
      </c>
      <c r="C27" s="83">
        <v>1350</v>
      </c>
    </row>
    <row r="28" spans="1:6" x14ac:dyDescent="0.2">
      <c r="A28" s="87">
        <v>43644</v>
      </c>
      <c r="B28" s="85">
        <v>180</v>
      </c>
      <c r="C28" s="83">
        <v>1350</v>
      </c>
    </row>
    <row r="29" spans="1:6" x14ac:dyDescent="0.2">
      <c r="A29" s="88">
        <v>43645</v>
      </c>
      <c r="B29" s="27">
        <v>0</v>
      </c>
      <c r="C29" s="26">
        <v>0</v>
      </c>
      <c r="E29" s="29" t="s">
        <v>148</v>
      </c>
      <c r="F29" s="30">
        <f>SUM(B24:B28)</f>
        <v>900</v>
      </c>
    </row>
    <row r="30" spans="1:6" x14ac:dyDescent="0.2">
      <c r="A30" s="88">
        <v>43646</v>
      </c>
      <c r="B30" s="27">
        <v>0</v>
      </c>
      <c r="C30" s="26">
        <v>0</v>
      </c>
      <c r="E30" s="29" t="s">
        <v>149</v>
      </c>
      <c r="F30" s="31">
        <f>F29/5</f>
        <v>180</v>
      </c>
    </row>
    <row r="31" spans="1:6" x14ac:dyDescent="0.2">
      <c r="A31" s="87"/>
      <c r="B31" s="85">
        <v>0</v>
      </c>
      <c r="C31" s="83"/>
    </row>
    <row r="33" spans="1:3" x14ac:dyDescent="0.2">
      <c r="A33" s="24">
        <v>43617</v>
      </c>
      <c r="B33" s="28">
        <f>B1</f>
        <v>0</v>
      </c>
      <c r="C33" s="28">
        <f>C1</f>
        <v>0</v>
      </c>
    </row>
    <row r="34" spans="1:3" x14ac:dyDescent="0.2">
      <c r="A34" s="24">
        <v>43618</v>
      </c>
      <c r="B34" s="28">
        <f t="shared" ref="B34:C49" si="0">B2+B33</f>
        <v>0</v>
      </c>
      <c r="C34" s="28">
        <f>C2+C33</f>
        <v>0</v>
      </c>
    </row>
    <row r="35" spans="1:3" x14ac:dyDescent="0.2">
      <c r="A35" s="84">
        <v>43619</v>
      </c>
      <c r="B35" s="86">
        <f t="shared" si="0"/>
        <v>180</v>
      </c>
      <c r="C35" s="86">
        <f t="shared" si="0"/>
        <v>1350</v>
      </c>
    </row>
    <row r="36" spans="1:3" x14ac:dyDescent="0.2">
      <c r="A36" s="84">
        <v>43620</v>
      </c>
      <c r="B36" s="86">
        <f t="shared" si="0"/>
        <v>360</v>
      </c>
      <c r="C36" s="86">
        <f t="shared" si="0"/>
        <v>2700</v>
      </c>
    </row>
    <row r="37" spans="1:3" x14ac:dyDescent="0.2">
      <c r="A37" s="84">
        <v>43621</v>
      </c>
      <c r="B37" s="86">
        <f t="shared" si="0"/>
        <v>540</v>
      </c>
      <c r="C37" s="86">
        <f t="shared" si="0"/>
        <v>4050</v>
      </c>
    </row>
    <row r="38" spans="1:3" x14ac:dyDescent="0.2">
      <c r="A38" s="84">
        <v>43622</v>
      </c>
      <c r="B38" s="86">
        <f t="shared" si="0"/>
        <v>720</v>
      </c>
      <c r="C38" s="86">
        <f t="shared" si="0"/>
        <v>5400</v>
      </c>
    </row>
    <row r="39" spans="1:3" x14ac:dyDescent="0.2">
      <c r="A39" s="84">
        <v>43623</v>
      </c>
      <c r="B39" s="86">
        <f t="shared" si="0"/>
        <v>900</v>
      </c>
      <c r="C39" s="86">
        <f t="shared" si="0"/>
        <v>6750</v>
      </c>
    </row>
    <row r="40" spans="1:3" x14ac:dyDescent="0.2">
      <c r="A40" s="24">
        <v>43624</v>
      </c>
      <c r="B40" s="28">
        <f t="shared" si="0"/>
        <v>900</v>
      </c>
      <c r="C40" s="28">
        <f t="shared" si="0"/>
        <v>6750</v>
      </c>
    </row>
    <row r="41" spans="1:3" x14ac:dyDescent="0.2">
      <c r="A41" s="24">
        <v>43625</v>
      </c>
      <c r="B41" s="28">
        <f t="shared" si="0"/>
        <v>900</v>
      </c>
      <c r="C41" s="28">
        <f t="shared" si="0"/>
        <v>6750</v>
      </c>
    </row>
    <row r="42" spans="1:3" x14ac:dyDescent="0.2">
      <c r="A42" s="84">
        <v>43626</v>
      </c>
      <c r="B42" s="86">
        <f t="shared" si="0"/>
        <v>1080</v>
      </c>
      <c r="C42" s="86">
        <f t="shared" si="0"/>
        <v>8100</v>
      </c>
    </row>
    <row r="43" spans="1:3" x14ac:dyDescent="0.2">
      <c r="A43" s="84">
        <v>43627</v>
      </c>
      <c r="B43" s="86">
        <f t="shared" si="0"/>
        <v>1260</v>
      </c>
      <c r="C43" s="86">
        <f t="shared" si="0"/>
        <v>9450</v>
      </c>
    </row>
    <row r="44" spans="1:3" x14ac:dyDescent="0.2">
      <c r="A44" s="84">
        <v>43628</v>
      </c>
      <c r="B44" s="86">
        <f t="shared" si="0"/>
        <v>1440</v>
      </c>
      <c r="C44" s="86">
        <f t="shared" si="0"/>
        <v>10800</v>
      </c>
    </row>
    <row r="45" spans="1:3" x14ac:dyDescent="0.2">
      <c r="A45" s="84">
        <v>43629</v>
      </c>
      <c r="B45" s="86">
        <f t="shared" si="0"/>
        <v>1620</v>
      </c>
      <c r="C45" s="86">
        <f t="shared" si="0"/>
        <v>12150</v>
      </c>
    </row>
    <row r="46" spans="1:3" x14ac:dyDescent="0.2">
      <c r="A46" s="84">
        <v>43630</v>
      </c>
      <c r="B46" s="86">
        <f t="shared" si="0"/>
        <v>1800</v>
      </c>
      <c r="C46" s="86">
        <f t="shared" si="0"/>
        <v>13500</v>
      </c>
    </row>
    <row r="47" spans="1:3" x14ac:dyDescent="0.2">
      <c r="A47" s="24">
        <v>43631</v>
      </c>
      <c r="B47" s="28">
        <f t="shared" si="0"/>
        <v>1800</v>
      </c>
      <c r="C47" s="28">
        <f t="shared" si="0"/>
        <v>13500</v>
      </c>
    </row>
    <row r="48" spans="1:3" x14ac:dyDescent="0.2">
      <c r="A48" s="24">
        <v>43632</v>
      </c>
      <c r="B48" s="28">
        <f t="shared" si="0"/>
        <v>1800</v>
      </c>
      <c r="C48" s="28">
        <f t="shared" si="0"/>
        <v>13500</v>
      </c>
    </row>
    <row r="49" spans="1:4" x14ac:dyDescent="0.2">
      <c r="A49" s="84">
        <v>43633</v>
      </c>
      <c r="B49" s="86">
        <f t="shared" si="0"/>
        <v>1980</v>
      </c>
      <c r="C49" s="86">
        <f t="shared" si="0"/>
        <v>14850</v>
      </c>
    </row>
    <row r="50" spans="1:4" x14ac:dyDescent="0.2">
      <c r="A50" s="84">
        <v>43634</v>
      </c>
      <c r="B50" s="86">
        <f t="shared" ref="B50:C62" si="1">B18+B49</f>
        <v>2160</v>
      </c>
      <c r="C50" s="86">
        <f t="shared" si="1"/>
        <v>16200</v>
      </c>
    </row>
    <row r="51" spans="1:4" x14ac:dyDescent="0.2">
      <c r="A51" s="84">
        <v>43635</v>
      </c>
      <c r="B51" s="86">
        <f t="shared" si="1"/>
        <v>2340</v>
      </c>
      <c r="C51" s="86">
        <f t="shared" si="1"/>
        <v>17550</v>
      </c>
    </row>
    <row r="52" spans="1:4" x14ac:dyDescent="0.2">
      <c r="A52" s="84">
        <v>43636</v>
      </c>
      <c r="B52" s="86">
        <f t="shared" si="1"/>
        <v>2520</v>
      </c>
      <c r="C52" s="86">
        <f t="shared" si="1"/>
        <v>18900</v>
      </c>
    </row>
    <row r="53" spans="1:4" x14ac:dyDescent="0.2">
      <c r="A53" s="84">
        <v>43637</v>
      </c>
      <c r="B53" s="86">
        <f t="shared" si="1"/>
        <v>2700</v>
      </c>
      <c r="C53" s="86">
        <f t="shared" si="1"/>
        <v>20250</v>
      </c>
    </row>
    <row r="54" spans="1:4" x14ac:dyDescent="0.2">
      <c r="A54" s="24">
        <v>43638</v>
      </c>
      <c r="B54" s="28">
        <f t="shared" si="1"/>
        <v>2700</v>
      </c>
      <c r="C54" s="28">
        <f t="shared" si="1"/>
        <v>20250</v>
      </c>
    </row>
    <row r="55" spans="1:4" x14ac:dyDescent="0.2">
      <c r="A55" s="24">
        <v>43639</v>
      </c>
      <c r="B55" s="28">
        <f t="shared" si="1"/>
        <v>2700</v>
      </c>
      <c r="C55" s="28">
        <f t="shared" si="1"/>
        <v>20250</v>
      </c>
    </row>
    <row r="56" spans="1:4" x14ac:dyDescent="0.2">
      <c r="A56" s="84">
        <v>43640</v>
      </c>
      <c r="B56" s="86">
        <f t="shared" si="1"/>
        <v>2880</v>
      </c>
      <c r="C56" s="86">
        <f t="shared" si="1"/>
        <v>21600</v>
      </c>
    </row>
    <row r="57" spans="1:4" x14ac:dyDescent="0.2">
      <c r="A57" s="84">
        <v>43641</v>
      </c>
      <c r="B57" s="86">
        <f t="shared" si="1"/>
        <v>3060</v>
      </c>
      <c r="C57" s="86">
        <f t="shared" si="1"/>
        <v>22950</v>
      </c>
    </row>
    <row r="58" spans="1:4" x14ac:dyDescent="0.2">
      <c r="A58" s="84">
        <v>43642</v>
      </c>
      <c r="B58" s="86">
        <f t="shared" si="1"/>
        <v>3240</v>
      </c>
      <c r="C58" s="86">
        <f t="shared" si="1"/>
        <v>24300</v>
      </c>
    </row>
    <row r="59" spans="1:4" x14ac:dyDescent="0.2">
      <c r="A59" s="84">
        <v>43643</v>
      </c>
      <c r="B59" s="86">
        <f t="shared" si="1"/>
        <v>3420</v>
      </c>
      <c r="C59" s="86">
        <f t="shared" si="1"/>
        <v>25650</v>
      </c>
    </row>
    <row r="60" spans="1:4" x14ac:dyDescent="0.2">
      <c r="A60" s="84">
        <v>43644</v>
      </c>
      <c r="B60" s="86">
        <f t="shared" si="1"/>
        <v>3600</v>
      </c>
      <c r="C60" s="86">
        <f>C28+C59</f>
        <v>27000</v>
      </c>
    </row>
    <row r="61" spans="1:4" x14ac:dyDescent="0.2">
      <c r="A61" s="24">
        <v>43645</v>
      </c>
      <c r="B61" s="28">
        <f t="shared" si="1"/>
        <v>3600</v>
      </c>
      <c r="C61" s="28">
        <f t="shared" si="1"/>
        <v>27000</v>
      </c>
    </row>
    <row r="62" spans="1:4" x14ac:dyDescent="0.2">
      <c r="A62" s="24">
        <v>43646</v>
      </c>
      <c r="B62" s="28">
        <f t="shared" si="1"/>
        <v>3600</v>
      </c>
      <c r="C62" s="28">
        <f t="shared" si="1"/>
        <v>27000</v>
      </c>
      <c r="D62" s="81">
        <f>B62-C62</f>
        <v>-23400</v>
      </c>
    </row>
    <row r="63" spans="1:4" x14ac:dyDescent="0.2">
      <c r="A63" s="84"/>
      <c r="B63" s="86"/>
      <c r="C63" s="86"/>
    </row>
    <row r="67" spans="1:31" ht="15" thickBot="1" x14ac:dyDescent="0.25"/>
    <row r="68" spans="1:31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1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  <c r="AD69" s="91"/>
      <c r="AE69" s="91"/>
    </row>
    <row r="70" spans="1:31" x14ac:dyDescent="0.2">
      <c r="A70" s="24">
        <v>43617</v>
      </c>
      <c r="B70" s="76"/>
      <c r="C70" s="77"/>
      <c r="D70" s="78"/>
      <c r="E70" s="77"/>
      <c r="F70" s="76"/>
      <c r="G70" s="77"/>
      <c r="H70" s="78"/>
      <c r="I70" s="4"/>
      <c r="J70" s="76"/>
      <c r="K70" s="77"/>
      <c r="L70" s="78"/>
      <c r="M70" s="4"/>
      <c r="N70" s="76"/>
      <c r="O70" s="77"/>
      <c r="P70" s="78"/>
      <c r="Q70" s="4"/>
      <c r="R70" s="76"/>
      <c r="S70" s="77"/>
      <c r="T70" s="78"/>
      <c r="U70" s="4"/>
      <c r="V70" s="76"/>
      <c r="W70" s="77"/>
      <c r="X70" s="78"/>
      <c r="Y70" s="77"/>
      <c r="AA70" s="34">
        <f>B70+D70+F70+H70+J70+L70+N70+P70+R70+T70+V70+X70</f>
        <v>0</v>
      </c>
      <c r="AB70" s="39">
        <f>C70+E70+G70+I70+K70+M70+O70+Q70+S70+U70+W70+Y70</f>
        <v>0</v>
      </c>
      <c r="AC70" s="51">
        <f>AA70+AB70</f>
        <v>0</v>
      </c>
      <c r="AD70" s="90"/>
      <c r="AE70" s="90"/>
    </row>
    <row r="71" spans="1:31" x14ac:dyDescent="0.2">
      <c r="A71" s="24">
        <v>43618</v>
      </c>
      <c r="B71" s="76"/>
      <c r="C71" s="77"/>
      <c r="D71" s="78"/>
      <c r="E71" s="77"/>
      <c r="F71" s="76"/>
      <c r="G71" s="77"/>
      <c r="H71" s="78"/>
      <c r="I71" s="4"/>
      <c r="J71" s="76"/>
      <c r="K71" s="77"/>
      <c r="L71" s="78"/>
      <c r="M71" s="4"/>
      <c r="N71" s="76"/>
      <c r="O71" s="77"/>
      <c r="P71" s="78"/>
      <c r="Q71" s="4"/>
      <c r="R71" s="76"/>
      <c r="S71" s="77"/>
      <c r="T71" s="78"/>
      <c r="U71" s="4"/>
      <c r="V71" s="76"/>
      <c r="W71" s="77"/>
      <c r="X71" s="78"/>
      <c r="Y71" s="77"/>
      <c r="AA71" s="34">
        <f t="shared" ref="AA71:AB98" si="2">B71+D71+F71+H71+J71+L71+N71+P71+R71+T71+V71+X71</f>
        <v>0</v>
      </c>
      <c r="AB71" s="39">
        <f t="shared" si="2"/>
        <v>0</v>
      </c>
      <c r="AC71" s="51">
        <f t="shared" ref="AC71:AC98" si="3">AA71+AB71</f>
        <v>0</v>
      </c>
      <c r="AD71" s="90"/>
      <c r="AE71" s="90"/>
    </row>
    <row r="72" spans="1:31" x14ac:dyDescent="0.2">
      <c r="A72" s="84">
        <v>43619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69">
        <f t="shared" si="2"/>
        <v>0</v>
      </c>
      <c r="AC72" s="71">
        <f t="shared" si="3"/>
        <v>0</v>
      </c>
      <c r="AD72" s="90"/>
      <c r="AE72" s="90"/>
    </row>
    <row r="73" spans="1:31" x14ac:dyDescent="0.2">
      <c r="A73" s="84">
        <v>43620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69">
        <f t="shared" si="2"/>
        <v>0</v>
      </c>
      <c r="AC73" s="64">
        <f t="shared" si="3"/>
        <v>0</v>
      </c>
      <c r="AD73" s="90"/>
      <c r="AE73" s="90"/>
    </row>
    <row r="74" spans="1:31" x14ac:dyDescent="0.2">
      <c r="A74" s="84">
        <v>43621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69">
        <f t="shared" si="2"/>
        <v>0</v>
      </c>
      <c r="AC74" s="64">
        <f t="shared" si="3"/>
        <v>0</v>
      </c>
      <c r="AD74" s="90"/>
      <c r="AE74" s="90"/>
    </row>
    <row r="75" spans="1:31" x14ac:dyDescent="0.2">
      <c r="A75" s="84">
        <v>43622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74"/>
      <c r="Y75" s="73"/>
      <c r="AA75" s="57">
        <f t="shared" si="2"/>
        <v>0</v>
      </c>
      <c r="AB75" s="69">
        <f t="shared" si="2"/>
        <v>0</v>
      </c>
      <c r="AC75" s="64">
        <f t="shared" si="3"/>
        <v>0</v>
      </c>
      <c r="AD75" s="90"/>
      <c r="AE75" s="90"/>
    </row>
    <row r="76" spans="1:31" x14ac:dyDescent="0.2">
      <c r="A76" s="84">
        <v>43623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74"/>
      <c r="Y76" s="73"/>
      <c r="AA76" s="57">
        <f t="shared" si="2"/>
        <v>0</v>
      </c>
      <c r="AB76" s="69">
        <f t="shared" si="2"/>
        <v>0</v>
      </c>
      <c r="AC76" s="71">
        <f t="shared" si="3"/>
        <v>0</v>
      </c>
      <c r="AD76" s="72">
        <f>SUM(AC72:AC76)</f>
        <v>0</v>
      </c>
      <c r="AE76" s="90"/>
    </row>
    <row r="77" spans="1:31" x14ac:dyDescent="0.2">
      <c r="A77" s="24">
        <v>43624</v>
      </c>
      <c r="B77" s="76"/>
      <c r="C77" s="77"/>
      <c r="D77" s="78"/>
      <c r="E77" s="77"/>
      <c r="F77" s="76"/>
      <c r="G77" s="77"/>
      <c r="H77" s="78"/>
      <c r="I77" s="4"/>
      <c r="J77" s="76"/>
      <c r="K77" s="77"/>
      <c r="L77" s="78"/>
      <c r="M77" s="4"/>
      <c r="N77" s="76"/>
      <c r="O77" s="77"/>
      <c r="P77" s="78"/>
      <c r="Q77" s="4"/>
      <c r="R77" s="76"/>
      <c r="S77" s="77"/>
      <c r="T77" s="78"/>
      <c r="U77" s="4"/>
      <c r="V77" s="76"/>
      <c r="W77" s="77"/>
      <c r="X77" s="78"/>
      <c r="Y77" s="77"/>
      <c r="AA77" s="34">
        <f t="shared" si="2"/>
        <v>0</v>
      </c>
      <c r="AB77" s="39">
        <f t="shared" si="2"/>
        <v>0</v>
      </c>
      <c r="AC77" s="51">
        <f t="shared" si="3"/>
        <v>0</v>
      </c>
      <c r="AE77" s="90"/>
    </row>
    <row r="78" spans="1:31" x14ac:dyDescent="0.2">
      <c r="A78" s="24">
        <v>43625</v>
      </c>
      <c r="B78" s="76"/>
      <c r="C78" s="77"/>
      <c r="D78" s="78"/>
      <c r="E78" s="77"/>
      <c r="F78" s="76"/>
      <c r="G78" s="77"/>
      <c r="H78" s="78"/>
      <c r="I78" s="4"/>
      <c r="J78" s="76"/>
      <c r="K78" s="77"/>
      <c r="L78" s="78"/>
      <c r="M78" s="4"/>
      <c r="N78" s="76"/>
      <c r="O78" s="77"/>
      <c r="P78" s="78"/>
      <c r="Q78" s="4"/>
      <c r="R78" s="76"/>
      <c r="S78" s="77"/>
      <c r="T78" s="78"/>
      <c r="U78" s="4"/>
      <c r="V78" s="76"/>
      <c r="W78" s="77"/>
      <c r="X78" s="78"/>
      <c r="Y78" s="77"/>
      <c r="AA78" s="34">
        <f t="shared" si="2"/>
        <v>0</v>
      </c>
      <c r="AB78" s="39">
        <f t="shared" si="2"/>
        <v>0</v>
      </c>
      <c r="AC78" s="51">
        <f t="shared" si="3"/>
        <v>0</v>
      </c>
      <c r="AD78" s="90"/>
      <c r="AE78" s="90"/>
    </row>
    <row r="79" spans="1:31" x14ac:dyDescent="0.2">
      <c r="A79" s="84">
        <v>43626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69">
        <f t="shared" si="2"/>
        <v>0</v>
      </c>
      <c r="AC79" s="71">
        <f t="shared" si="3"/>
        <v>0</v>
      </c>
      <c r="AE79" s="90"/>
    </row>
    <row r="80" spans="1:31" x14ac:dyDescent="0.2">
      <c r="A80" s="84">
        <v>43627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69">
        <f t="shared" si="2"/>
        <v>0</v>
      </c>
      <c r="AC80" s="64">
        <f t="shared" si="3"/>
        <v>0</v>
      </c>
      <c r="AD80" s="90"/>
      <c r="AE80" s="90"/>
    </row>
    <row r="81" spans="1:31" x14ac:dyDescent="0.2">
      <c r="A81" s="84">
        <v>43628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69">
        <f t="shared" si="2"/>
        <v>0</v>
      </c>
      <c r="AC81" s="64">
        <f t="shared" si="3"/>
        <v>0</v>
      </c>
      <c r="AD81" s="90"/>
      <c r="AE81" s="90"/>
    </row>
    <row r="82" spans="1:31" x14ac:dyDescent="0.2">
      <c r="A82" s="84">
        <v>43629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74"/>
      <c r="Y82" s="73"/>
      <c r="AA82" s="57">
        <f t="shared" si="2"/>
        <v>0</v>
      </c>
      <c r="AB82" s="69">
        <f t="shared" si="2"/>
        <v>0</v>
      </c>
      <c r="AC82" s="64">
        <f t="shared" si="3"/>
        <v>0</v>
      </c>
      <c r="AD82" s="90"/>
      <c r="AE82" s="90"/>
    </row>
    <row r="83" spans="1:31" x14ac:dyDescent="0.2">
      <c r="A83" s="84">
        <v>43630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74"/>
      <c r="Y83" s="73"/>
      <c r="AA83" s="57">
        <f t="shared" si="2"/>
        <v>0</v>
      </c>
      <c r="AB83" s="69">
        <f t="shared" si="2"/>
        <v>0</v>
      </c>
      <c r="AC83" s="71">
        <f t="shared" si="3"/>
        <v>0</v>
      </c>
      <c r="AD83" s="72">
        <f>SUM(AC79:AC83)</f>
        <v>0</v>
      </c>
      <c r="AE83" s="90"/>
    </row>
    <row r="84" spans="1:31" x14ac:dyDescent="0.2">
      <c r="A84" s="24">
        <v>43631</v>
      </c>
      <c r="B84" s="76"/>
      <c r="C84" s="77"/>
      <c r="D84" s="78"/>
      <c r="E84" s="77"/>
      <c r="F84" s="76"/>
      <c r="G84" s="77"/>
      <c r="H84" s="78"/>
      <c r="I84" s="4"/>
      <c r="J84" s="76"/>
      <c r="K84" s="77"/>
      <c r="L84" s="78"/>
      <c r="M84" s="4"/>
      <c r="N84" s="76"/>
      <c r="O84" s="77"/>
      <c r="P84" s="78"/>
      <c r="Q84" s="4"/>
      <c r="R84" s="76"/>
      <c r="S84" s="77"/>
      <c r="T84" s="78"/>
      <c r="U84" s="4"/>
      <c r="V84" s="76"/>
      <c r="W84" s="77"/>
      <c r="X84" s="78"/>
      <c r="Y84" s="77"/>
      <c r="AA84" s="34">
        <f t="shared" si="2"/>
        <v>0</v>
      </c>
      <c r="AB84" s="39">
        <f t="shared" si="2"/>
        <v>0</v>
      </c>
      <c r="AC84" s="51">
        <f t="shared" si="3"/>
        <v>0</v>
      </c>
      <c r="AE84" s="90"/>
    </row>
    <row r="85" spans="1:31" x14ac:dyDescent="0.2">
      <c r="A85" s="24">
        <v>43632</v>
      </c>
      <c r="B85" s="76"/>
      <c r="C85" s="77"/>
      <c r="D85" s="78"/>
      <c r="E85" s="77"/>
      <c r="F85" s="76"/>
      <c r="G85" s="77"/>
      <c r="H85" s="78"/>
      <c r="I85" s="4"/>
      <c r="J85" s="76"/>
      <c r="K85" s="77"/>
      <c r="L85" s="78"/>
      <c r="M85" s="4"/>
      <c r="N85" s="76"/>
      <c r="O85" s="77"/>
      <c r="P85" s="78"/>
      <c r="Q85" s="4"/>
      <c r="R85" s="76"/>
      <c r="S85" s="77"/>
      <c r="T85" s="78"/>
      <c r="U85" s="4"/>
      <c r="V85" s="76"/>
      <c r="W85" s="77"/>
      <c r="X85" s="78"/>
      <c r="Y85" s="77"/>
      <c r="AA85" s="34">
        <f t="shared" si="2"/>
        <v>0</v>
      </c>
      <c r="AB85" s="39">
        <f t="shared" si="2"/>
        <v>0</v>
      </c>
      <c r="AC85" s="51">
        <f t="shared" si="3"/>
        <v>0</v>
      </c>
      <c r="AD85" s="90"/>
      <c r="AE85" s="90"/>
    </row>
    <row r="86" spans="1:31" x14ac:dyDescent="0.2">
      <c r="A86" s="84">
        <v>43633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69">
        <f t="shared" si="2"/>
        <v>0</v>
      </c>
      <c r="AC86" s="71">
        <f t="shared" si="3"/>
        <v>0</v>
      </c>
      <c r="AE86" s="90"/>
    </row>
    <row r="87" spans="1:31" x14ac:dyDescent="0.2">
      <c r="A87" s="84">
        <v>43634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69">
        <f t="shared" si="2"/>
        <v>0</v>
      </c>
      <c r="AC87" s="64">
        <f t="shared" si="3"/>
        <v>0</v>
      </c>
      <c r="AD87" s="90"/>
      <c r="AE87" s="90"/>
    </row>
    <row r="88" spans="1:31" x14ac:dyDescent="0.2">
      <c r="A88" s="84">
        <v>43635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69">
        <f t="shared" si="2"/>
        <v>0</v>
      </c>
      <c r="AC88" s="64">
        <f t="shared" si="3"/>
        <v>0</v>
      </c>
      <c r="AD88" s="90"/>
      <c r="AE88" s="90"/>
    </row>
    <row r="89" spans="1:31" x14ac:dyDescent="0.2">
      <c r="A89" s="84">
        <v>43636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74"/>
      <c r="Y89" s="73"/>
      <c r="AA89" s="57">
        <f t="shared" si="2"/>
        <v>0</v>
      </c>
      <c r="AB89" s="69">
        <f t="shared" si="2"/>
        <v>0</v>
      </c>
      <c r="AC89" s="64">
        <f t="shared" si="3"/>
        <v>0</v>
      </c>
      <c r="AD89" s="90"/>
      <c r="AE89" s="90"/>
    </row>
    <row r="90" spans="1:31" x14ac:dyDescent="0.2">
      <c r="A90" s="84">
        <v>43637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74"/>
      <c r="Y90" s="73"/>
      <c r="AA90" s="57">
        <f t="shared" si="2"/>
        <v>0</v>
      </c>
      <c r="AB90" s="69">
        <f t="shared" si="2"/>
        <v>0</v>
      </c>
      <c r="AC90" s="71">
        <f t="shared" si="3"/>
        <v>0</v>
      </c>
      <c r="AD90" s="72">
        <f>SUM(AC86:AC90)</f>
        <v>0</v>
      </c>
      <c r="AE90" s="90"/>
    </row>
    <row r="91" spans="1:31" x14ac:dyDescent="0.2">
      <c r="A91" s="24">
        <v>43638</v>
      </c>
      <c r="B91" s="76"/>
      <c r="C91" s="77"/>
      <c r="D91" s="78"/>
      <c r="E91" s="77"/>
      <c r="F91" s="76"/>
      <c r="G91" s="77"/>
      <c r="H91" s="78"/>
      <c r="I91" s="4"/>
      <c r="J91" s="76"/>
      <c r="K91" s="77"/>
      <c r="L91" s="78"/>
      <c r="M91" s="4"/>
      <c r="N91" s="76"/>
      <c r="O91" s="77"/>
      <c r="P91" s="78"/>
      <c r="Q91" s="4"/>
      <c r="R91" s="76"/>
      <c r="S91" s="77"/>
      <c r="T91" s="78"/>
      <c r="U91" s="4"/>
      <c r="V91" s="76"/>
      <c r="W91" s="77"/>
      <c r="X91" s="78"/>
      <c r="Y91" s="77"/>
      <c r="AA91" s="34">
        <f t="shared" si="2"/>
        <v>0</v>
      </c>
      <c r="AB91" s="39">
        <f t="shared" si="2"/>
        <v>0</v>
      </c>
      <c r="AC91" s="51">
        <f t="shared" si="3"/>
        <v>0</v>
      </c>
      <c r="AE91" s="90"/>
    </row>
    <row r="92" spans="1:31" x14ac:dyDescent="0.2">
      <c r="A92" s="24">
        <v>43639</v>
      </c>
      <c r="B92" s="76"/>
      <c r="C92" s="77"/>
      <c r="D92" s="78"/>
      <c r="E92" s="77"/>
      <c r="F92" s="76"/>
      <c r="G92" s="77"/>
      <c r="H92" s="78"/>
      <c r="I92" s="4"/>
      <c r="J92" s="76"/>
      <c r="K92" s="77"/>
      <c r="L92" s="78"/>
      <c r="M92" s="4"/>
      <c r="N92" s="76"/>
      <c r="O92" s="77"/>
      <c r="P92" s="78"/>
      <c r="Q92" s="4"/>
      <c r="R92" s="76"/>
      <c r="S92" s="77"/>
      <c r="T92" s="78"/>
      <c r="U92" s="4"/>
      <c r="V92" s="76"/>
      <c r="W92" s="77"/>
      <c r="X92" s="78"/>
      <c r="Y92" s="77"/>
      <c r="AA92" s="34">
        <f t="shared" si="2"/>
        <v>0</v>
      </c>
      <c r="AB92" s="39">
        <f t="shared" si="2"/>
        <v>0</v>
      </c>
      <c r="AC92" s="51">
        <f t="shared" si="3"/>
        <v>0</v>
      </c>
      <c r="AD92" s="90"/>
      <c r="AE92" s="90"/>
    </row>
    <row r="93" spans="1:31" x14ac:dyDescent="0.2">
      <c r="A93" s="84">
        <v>43640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69">
        <f t="shared" si="2"/>
        <v>0</v>
      </c>
      <c r="AC93" s="71">
        <f t="shared" si="3"/>
        <v>0</v>
      </c>
      <c r="AE93" s="90"/>
    </row>
    <row r="94" spans="1:31" x14ac:dyDescent="0.2">
      <c r="A94" s="84">
        <v>43641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69">
        <f t="shared" si="2"/>
        <v>0</v>
      </c>
      <c r="AC94" s="64">
        <f t="shared" si="3"/>
        <v>0</v>
      </c>
      <c r="AD94" s="90"/>
      <c r="AE94" s="90"/>
    </row>
    <row r="95" spans="1:31" x14ac:dyDescent="0.2">
      <c r="A95" s="84">
        <v>43642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69">
        <f t="shared" si="2"/>
        <v>0</v>
      </c>
      <c r="AC95" s="64">
        <f t="shared" si="3"/>
        <v>0</v>
      </c>
      <c r="AD95" s="90"/>
      <c r="AE95" s="90"/>
    </row>
    <row r="96" spans="1:31" x14ac:dyDescent="0.2">
      <c r="A96" s="84">
        <v>43643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74"/>
      <c r="Y96" s="73"/>
      <c r="AA96" s="57">
        <f t="shared" si="2"/>
        <v>0</v>
      </c>
      <c r="AB96" s="69">
        <f t="shared" si="2"/>
        <v>0</v>
      </c>
      <c r="AC96" s="64">
        <f t="shared" si="3"/>
        <v>0</v>
      </c>
      <c r="AD96" s="90"/>
      <c r="AE96" s="90"/>
    </row>
    <row r="97" spans="1:31" x14ac:dyDescent="0.2">
      <c r="A97" s="84">
        <v>43644</v>
      </c>
      <c r="B97" s="60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74"/>
      <c r="Y97" s="73"/>
      <c r="AA97" s="57">
        <f t="shared" si="2"/>
        <v>0</v>
      </c>
      <c r="AB97" s="69">
        <f t="shared" si="2"/>
        <v>0</v>
      </c>
      <c r="AC97" s="71">
        <f t="shared" si="3"/>
        <v>0</v>
      </c>
      <c r="AD97" s="72">
        <f>SUM(AC93:AC97)</f>
        <v>0</v>
      </c>
      <c r="AE97" s="90"/>
    </row>
    <row r="98" spans="1:31" x14ac:dyDescent="0.2">
      <c r="A98" s="24">
        <v>43645</v>
      </c>
      <c r="B98" s="76"/>
      <c r="C98" s="77"/>
      <c r="D98" s="78"/>
      <c r="E98" s="77"/>
      <c r="F98" s="76"/>
      <c r="G98" s="77"/>
      <c r="H98" s="78"/>
      <c r="I98" s="4"/>
      <c r="J98" s="76"/>
      <c r="K98" s="77"/>
      <c r="L98" s="78"/>
      <c r="M98" s="4"/>
      <c r="N98" s="76"/>
      <c r="O98" s="77"/>
      <c r="P98" s="78"/>
      <c r="Q98" s="4"/>
      <c r="R98" s="76"/>
      <c r="S98" s="77"/>
      <c r="T98" s="78"/>
      <c r="U98" s="4"/>
      <c r="V98" s="76"/>
      <c r="W98" s="77"/>
      <c r="X98" s="78"/>
      <c r="Y98" s="77"/>
      <c r="AA98" s="34">
        <f t="shared" si="2"/>
        <v>0</v>
      </c>
      <c r="AB98" s="39">
        <f t="shared" si="2"/>
        <v>0</v>
      </c>
      <c r="AC98" s="51">
        <f t="shared" si="3"/>
        <v>0</v>
      </c>
      <c r="AE98" s="90"/>
    </row>
    <row r="99" spans="1:31" x14ac:dyDescent="0.2">
      <c r="A99" s="24">
        <v>43646</v>
      </c>
      <c r="B99" s="76"/>
      <c r="C99" s="77"/>
      <c r="D99" s="78"/>
      <c r="E99" s="4"/>
      <c r="F99" s="76"/>
      <c r="G99" s="77"/>
      <c r="H99" s="78"/>
      <c r="I99" s="4"/>
      <c r="J99" s="76"/>
      <c r="K99" s="77"/>
      <c r="L99" s="78"/>
      <c r="M99" s="4"/>
      <c r="N99" s="76"/>
      <c r="O99" s="77"/>
      <c r="P99" s="78"/>
      <c r="Q99" s="4"/>
      <c r="R99" s="76"/>
      <c r="S99" s="77"/>
      <c r="T99" s="78"/>
      <c r="U99" s="4"/>
      <c r="V99" s="76"/>
      <c r="W99" s="77"/>
      <c r="X99" s="78"/>
      <c r="Y99" s="77"/>
      <c r="AA99" s="34">
        <f>B99+D99+F99+H99+J99+L99+N99+P99+R99+T99+V99+X99</f>
        <v>0</v>
      </c>
      <c r="AB99" s="39">
        <f>C99+E99+G99+I99+K99+M99+O99+Q99+S99+U99+W99+Y99</f>
        <v>0</v>
      </c>
      <c r="AC99" s="51">
        <f>AA99+AB99</f>
        <v>0</v>
      </c>
      <c r="AD99" s="90"/>
      <c r="AE99" s="90"/>
    </row>
    <row r="100" spans="1:31" ht="15" thickBot="1" x14ac:dyDescent="0.25">
      <c r="A100" s="84"/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8">
        <f>B100+D100+F100+H100+J100+L100+N100+P100+R100+T100+V100+X100</f>
        <v>0</v>
      </c>
      <c r="AB100" s="70">
        <f>C100+E100+G100+I100+K100+M100+O100+Q100+S100+U100+W100+Y100</f>
        <v>0</v>
      </c>
      <c r="AC100" s="92">
        <f>AA100+AB100</f>
        <v>0</v>
      </c>
      <c r="AD100" s="72">
        <f>SUM(AC100)</f>
        <v>0</v>
      </c>
      <c r="AE100" s="90"/>
    </row>
    <row r="101" spans="1:31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4">SUM(D70:D100)</f>
        <v>0</v>
      </c>
      <c r="E101" s="67">
        <f t="shared" si="4"/>
        <v>0</v>
      </c>
      <c r="F101" s="62">
        <f t="shared" si="4"/>
        <v>0</v>
      </c>
      <c r="G101" s="66">
        <f t="shared" si="4"/>
        <v>0</v>
      </c>
      <c r="H101" s="61">
        <f t="shared" si="4"/>
        <v>0</v>
      </c>
      <c r="I101" s="67">
        <f t="shared" si="4"/>
        <v>0</v>
      </c>
      <c r="J101" s="62">
        <f t="shared" si="4"/>
        <v>0</v>
      </c>
      <c r="K101" s="66">
        <f t="shared" si="4"/>
        <v>0</v>
      </c>
      <c r="L101" s="61">
        <f t="shared" si="4"/>
        <v>0</v>
      </c>
      <c r="M101" s="67">
        <f t="shared" si="4"/>
        <v>0</v>
      </c>
      <c r="N101" s="62">
        <f t="shared" si="4"/>
        <v>0</v>
      </c>
      <c r="O101" s="66">
        <f t="shared" si="4"/>
        <v>0</v>
      </c>
      <c r="P101" s="61">
        <f t="shared" si="4"/>
        <v>0</v>
      </c>
      <c r="Q101" s="67">
        <f t="shared" si="4"/>
        <v>0</v>
      </c>
      <c r="R101" s="62">
        <f t="shared" si="4"/>
        <v>0</v>
      </c>
      <c r="S101" s="66">
        <f t="shared" si="4"/>
        <v>0</v>
      </c>
      <c r="T101" s="61">
        <f t="shared" si="4"/>
        <v>0</v>
      </c>
      <c r="U101" s="67">
        <f t="shared" si="4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  <c r="AD101" s="90"/>
      <c r="AE101" s="90"/>
    </row>
    <row r="102" spans="1:31" x14ac:dyDescent="0.2">
      <c r="AD102" s="90"/>
      <c r="AE102" s="90"/>
    </row>
    <row r="103" spans="1:31" x14ac:dyDescent="0.2">
      <c r="AD103" s="90"/>
      <c r="AE103" s="90"/>
    </row>
    <row r="104" spans="1:31" x14ac:dyDescent="0.2">
      <c r="AD104" s="89"/>
      <c r="AE104" s="89"/>
    </row>
    <row r="105" spans="1:31" x14ac:dyDescent="0.2">
      <c r="B105" s="35" t="s">
        <v>150</v>
      </c>
      <c r="C105" s="36">
        <f>B101+D101+F101+H101+J101+L101+N101+P101+R101+T101+V101+X101</f>
        <v>0</v>
      </c>
      <c r="AD105" s="89"/>
      <c r="AE105" s="89"/>
    </row>
    <row r="106" spans="1:31" x14ac:dyDescent="0.2">
      <c r="B106" s="37" t="s">
        <v>151</v>
      </c>
      <c r="C106" s="38">
        <f>C101+E101+G101+I101+K101+M101+O101+Q101+S101+U101+W101+Y101</f>
        <v>0</v>
      </c>
      <c r="AD106" s="89"/>
      <c r="AE106" s="89"/>
    </row>
    <row r="107" spans="1:31" x14ac:dyDescent="0.2">
      <c r="AD107" s="89"/>
      <c r="AE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8505-CB08-466C-A5BA-DA77E0125303}">
  <sheetPr codeName="Foglio16"/>
  <dimension ref="A1:AF107"/>
  <sheetViews>
    <sheetView topLeftCell="A13" zoomScale="85" zoomScaleNormal="85" workbookViewId="0">
      <selection activeCell="AD95" sqref="AD95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7">
        <v>43647</v>
      </c>
      <c r="B1" s="82">
        <v>156.52173913043478</v>
      </c>
      <c r="C1" s="83">
        <v>1350</v>
      </c>
      <c r="E1" s="55"/>
      <c r="F1" s="56"/>
    </row>
    <row r="2" spans="1:6" x14ac:dyDescent="0.2">
      <c r="A2" s="87">
        <v>43648</v>
      </c>
      <c r="B2" s="82">
        <v>156.52173913043478</v>
      </c>
      <c r="C2" s="83">
        <v>1350</v>
      </c>
      <c r="E2" s="55"/>
      <c r="F2" s="56"/>
    </row>
    <row r="3" spans="1:6" x14ac:dyDescent="0.2">
      <c r="A3" s="87">
        <v>43649</v>
      </c>
      <c r="B3" s="82">
        <v>156.52173913043478</v>
      </c>
      <c r="C3" s="83">
        <v>1350</v>
      </c>
    </row>
    <row r="4" spans="1:6" x14ac:dyDescent="0.2">
      <c r="A4" s="87">
        <v>43650</v>
      </c>
      <c r="B4" s="82">
        <v>156.52173913043478</v>
      </c>
      <c r="C4" s="83">
        <v>1350</v>
      </c>
      <c r="E4" s="29" t="s">
        <v>148</v>
      </c>
      <c r="F4" s="30">
        <f>SUM(B1:B5)</f>
        <v>782.60869565217388</v>
      </c>
    </row>
    <row r="5" spans="1:6" x14ac:dyDescent="0.2">
      <c r="A5" s="87">
        <v>43651</v>
      </c>
      <c r="B5" s="82">
        <v>156.52173913043478</v>
      </c>
      <c r="C5" s="83">
        <v>1350</v>
      </c>
      <c r="E5" s="29" t="s">
        <v>149</v>
      </c>
      <c r="F5" s="32">
        <f>F4/5</f>
        <v>156.52173913043478</v>
      </c>
    </row>
    <row r="6" spans="1:6" x14ac:dyDescent="0.2">
      <c r="A6" s="88">
        <v>43652</v>
      </c>
      <c r="B6" s="25">
        <v>0</v>
      </c>
      <c r="C6" s="26">
        <v>0</v>
      </c>
    </row>
    <row r="7" spans="1:6" x14ac:dyDescent="0.2">
      <c r="A7" s="88">
        <v>43653</v>
      </c>
      <c r="B7" s="25">
        <v>0</v>
      </c>
      <c r="C7" s="26">
        <v>0</v>
      </c>
    </row>
    <row r="8" spans="1:6" x14ac:dyDescent="0.2">
      <c r="A8" s="87">
        <v>43654</v>
      </c>
      <c r="B8" s="82">
        <v>156.52173913043478</v>
      </c>
      <c r="C8" s="83">
        <v>1350</v>
      </c>
    </row>
    <row r="9" spans="1:6" x14ac:dyDescent="0.2">
      <c r="A9" s="87">
        <v>43655</v>
      </c>
      <c r="B9" s="82">
        <v>156.52173913043478</v>
      </c>
      <c r="C9" s="83">
        <v>1350</v>
      </c>
    </row>
    <row r="10" spans="1:6" x14ac:dyDescent="0.2">
      <c r="A10" s="87">
        <v>43656</v>
      </c>
      <c r="B10" s="82">
        <v>156.52173913043478</v>
      </c>
      <c r="C10" s="83">
        <v>1350</v>
      </c>
    </row>
    <row r="11" spans="1:6" x14ac:dyDescent="0.2">
      <c r="A11" s="87">
        <v>43657</v>
      </c>
      <c r="B11" s="82">
        <v>156.52173913043478</v>
      </c>
      <c r="C11" s="83">
        <v>1350</v>
      </c>
      <c r="E11" s="29" t="s">
        <v>148</v>
      </c>
      <c r="F11" s="30">
        <f>SUM(B8:B12)</f>
        <v>782.60869565217388</v>
      </c>
    </row>
    <row r="12" spans="1:6" x14ac:dyDescent="0.2">
      <c r="A12" s="87">
        <v>43658</v>
      </c>
      <c r="B12" s="82">
        <v>156.52173913043478</v>
      </c>
      <c r="C12" s="83">
        <v>1350</v>
      </c>
      <c r="E12" s="29" t="s">
        <v>149</v>
      </c>
      <c r="F12" s="31">
        <f>F11/5</f>
        <v>156.52173913043478</v>
      </c>
    </row>
    <row r="13" spans="1:6" x14ac:dyDescent="0.2">
      <c r="A13" s="88">
        <v>43659</v>
      </c>
      <c r="B13" s="25">
        <v>0</v>
      </c>
      <c r="C13" s="26">
        <v>0</v>
      </c>
    </row>
    <row r="14" spans="1:6" x14ac:dyDescent="0.2">
      <c r="A14" s="88">
        <v>43660</v>
      </c>
      <c r="B14" s="25">
        <v>0</v>
      </c>
      <c r="C14" s="26">
        <v>0</v>
      </c>
    </row>
    <row r="15" spans="1:6" x14ac:dyDescent="0.2">
      <c r="A15" s="87">
        <v>43661</v>
      </c>
      <c r="B15" s="82">
        <v>156.52173913043478</v>
      </c>
      <c r="C15" s="83">
        <v>1350</v>
      </c>
    </row>
    <row r="16" spans="1:6" x14ac:dyDescent="0.2">
      <c r="A16" s="87">
        <v>43662</v>
      </c>
      <c r="B16" s="82">
        <v>156.52173913043478</v>
      </c>
      <c r="C16" s="83">
        <v>1350</v>
      </c>
    </row>
    <row r="17" spans="1:6" x14ac:dyDescent="0.2">
      <c r="A17" s="87">
        <v>43663</v>
      </c>
      <c r="B17" s="82">
        <v>156.52173913043478</v>
      </c>
      <c r="C17" s="83">
        <v>1350</v>
      </c>
    </row>
    <row r="18" spans="1:6" x14ac:dyDescent="0.2">
      <c r="A18" s="87">
        <v>43664</v>
      </c>
      <c r="B18" s="82">
        <v>156.52173913043478</v>
      </c>
      <c r="C18" s="83">
        <v>1350</v>
      </c>
      <c r="E18" s="29" t="s">
        <v>148</v>
      </c>
      <c r="F18" s="30">
        <f>SUM(B15:B19)</f>
        <v>782.60869565217388</v>
      </c>
    </row>
    <row r="19" spans="1:6" x14ac:dyDescent="0.2">
      <c r="A19" s="87">
        <v>43665</v>
      </c>
      <c r="B19" s="82">
        <v>156.52173913043478</v>
      </c>
      <c r="C19" s="83">
        <v>1350</v>
      </c>
      <c r="E19" s="29" t="s">
        <v>149</v>
      </c>
      <c r="F19" s="31">
        <f>F18/5</f>
        <v>156.52173913043478</v>
      </c>
    </row>
    <row r="20" spans="1:6" x14ac:dyDescent="0.2">
      <c r="A20" s="88">
        <v>43666</v>
      </c>
      <c r="B20" s="25">
        <v>0</v>
      </c>
      <c r="C20" s="26">
        <v>0</v>
      </c>
    </row>
    <row r="21" spans="1:6" x14ac:dyDescent="0.2">
      <c r="A21" s="88">
        <v>43667</v>
      </c>
      <c r="B21" s="25">
        <v>0</v>
      </c>
      <c r="C21" s="26">
        <v>0</v>
      </c>
    </row>
    <row r="22" spans="1:6" x14ac:dyDescent="0.2">
      <c r="A22" s="87">
        <v>43668</v>
      </c>
      <c r="B22" s="82">
        <v>156.52173913043478</v>
      </c>
      <c r="C22" s="83">
        <v>1350</v>
      </c>
    </row>
    <row r="23" spans="1:6" x14ac:dyDescent="0.2">
      <c r="A23" s="87">
        <v>43669</v>
      </c>
      <c r="B23" s="82">
        <v>156.52173913043478</v>
      </c>
      <c r="C23" s="83">
        <v>1350</v>
      </c>
    </row>
    <row r="24" spans="1:6" x14ac:dyDescent="0.2">
      <c r="A24" s="87">
        <v>43670</v>
      </c>
      <c r="B24" s="85">
        <v>156.52173913043478</v>
      </c>
      <c r="C24" s="83">
        <v>1350</v>
      </c>
    </row>
    <row r="25" spans="1:6" x14ac:dyDescent="0.2">
      <c r="A25" s="87">
        <v>43671</v>
      </c>
      <c r="B25" s="85">
        <v>156.52173913043478</v>
      </c>
      <c r="C25" s="83">
        <v>1350</v>
      </c>
      <c r="E25" s="29" t="s">
        <v>148</v>
      </c>
      <c r="F25" s="30">
        <f>SUM(B22:B26)</f>
        <v>782.60869565217388</v>
      </c>
    </row>
    <row r="26" spans="1:6" x14ac:dyDescent="0.2">
      <c r="A26" s="87">
        <v>43672</v>
      </c>
      <c r="B26" s="85">
        <v>156.52173913043478</v>
      </c>
      <c r="C26" s="83">
        <v>1350</v>
      </c>
      <c r="E26" s="29" t="s">
        <v>149</v>
      </c>
      <c r="F26" s="31">
        <f>F25/5</f>
        <v>156.52173913043478</v>
      </c>
    </row>
    <row r="27" spans="1:6" x14ac:dyDescent="0.2">
      <c r="A27" s="88">
        <v>43673</v>
      </c>
      <c r="B27" s="27">
        <v>0</v>
      </c>
      <c r="C27" s="26">
        <v>0</v>
      </c>
    </row>
    <row r="28" spans="1:6" x14ac:dyDescent="0.2">
      <c r="A28" s="88">
        <v>43674</v>
      </c>
      <c r="B28" s="27">
        <v>0</v>
      </c>
      <c r="C28" s="26">
        <v>0</v>
      </c>
    </row>
    <row r="29" spans="1:6" x14ac:dyDescent="0.2">
      <c r="A29" s="87">
        <v>43675</v>
      </c>
      <c r="B29" s="85">
        <v>156.52173913043478</v>
      </c>
      <c r="C29" s="83">
        <v>1350</v>
      </c>
    </row>
    <row r="30" spans="1:6" x14ac:dyDescent="0.2">
      <c r="A30" s="87">
        <v>43676</v>
      </c>
      <c r="B30" s="85">
        <v>156.52173913043478</v>
      </c>
      <c r="C30" s="83">
        <v>1350</v>
      </c>
      <c r="E30" s="29" t="s">
        <v>148</v>
      </c>
      <c r="F30" s="30">
        <f>SUM(B29:B31)</f>
        <v>469.56521739130437</v>
      </c>
    </row>
    <row r="31" spans="1:6" x14ac:dyDescent="0.2">
      <c r="A31" s="87">
        <v>43677</v>
      </c>
      <c r="B31" s="85">
        <v>156.52173913043478</v>
      </c>
      <c r="C31" s="83">
        <v>1350</v>
      </c>
      <c r="E31" s="29" t="s">
        <v>149</v>
      </c>
      <c r="F31" s="31">
        <f>F30/3</f>
        <v>156.52173913043478</v>
      </c>
    </row>
    <row r="33" spans="1:4" x14ac:dyDescent="0.2">
      <c r="A33" s="84">
        <v>43647</v>
      </c>
      <c r="B33" s="86">
        <f>B1</f>
        <v>156.52173913043478</v>
      </c>
      <c r="C33" s="86">
        <f>C1</f>
        <v>1350</v>
      </c>
    </row>
    <row r="34" spans="1:4" x14ac:dyDescent="0.2">
      <c r="A34" s="84">
        <v>43648</v>
      </c>
      <c r="B34" s="86">
        <f t="shared" ref="B34:C49" si="0">B2+B33</f>
        <v>313.04347826086956</v>
      </c>
      <c r="C34" s="86">
        <f>C2+C33</f>
        <v>2700</v>
      </c>
    </row>
    <row r="35" spans="1:4" x14ac:dyDescent="0.2">
      <c r="A35" s="84">
        <v>43649</v>
      </c>
      <c r="B35" s="86">
        <f t="shared" si="0"/>
        <v>469.56521739130437</v>
      </c>
      <c r="C35" s="86">
        <f t="shared" si="0"/>
        <v>4050</v>
      </c>
    </row>
    <row r="36" spans="1:4" x14ac:dyDescent="0.2">
      <c r="A36" s="84">
        <v>43650</v>
      </c>
      <c r="B36" s="86">
        <f t="shared" si="0"/>
        <v>626.08695652173913</v>
      </c>
      <c r="C36" s="86">
        <f t="shared" si="0"/>
        <v>5400</v>
      </c>
    </row>
    <row r="37" spans="1:4" x14ac:dyDescent="0.2">
      <c r="A37" s="84">
        <v>43651</v>
      </c>
      <c r="B37" s="86">
        <f t="shared" si="0"/>
        <v>782.60869565217388</v>
      </c>
      <c r="C37" s="86">
        <f t="shared" si="0"/>
        <v>6750</v>
      </c>
    </row>
    <row r="38" spans="1:4" x14ac:dyDescent="0.2">
      <c r="A38" s="24">
        <v>43652</v>
      </c>
      <c r="B38" s="28">
        <f t="shared" si="0"/>
        <v>782.60869565217388</v>
      </c>
      <c r="C38" s="28">
        <f t="shared" si="0"/>
        <v>6750</v>
      </c>
    </row>
    <row r="39" spans="1:4" x14ac:dyDescent="0.2">
      <c r="A39" s="24">
        <v>43653</v>
      </c>
      <c r="B39" s="28">
        <f t="shared" si="0"/>
        <v>782.60869565217388</v>
      </c>
      <c r="C39" s="28">
        <f t="shared" si="0"/>
        <v>6750</v>
      </c>
    </row>
    <row r="40" spans="1:4" x14ac:dyDescent="0.2">
      <c r="A40" s="84">
        <v>43654</v>
      </c>
      <c r="B40" s="86">
        <f t="shared" si="0"/>
        <v>939.13043478260863</v>
      </c>
      <c r="C40" s="86">
        <f t="shared" si="0"/>
        <v>8100</v>
      </c>
    </row>
    <row r="41" spans="1:4" x14ac:dyDescent="0.2">
      <c r="A41" s="84">
        <v>43655</v>
      </c>
      <c r="B41" s="86">
        <f t="shared" si="0"/>
        <v>1095.6521739130435</v>
      </c>
      <c r="C41" s="86">
        <f t="shared" si="0"/>
        <v>9450</v>
      </c>
    </row>
    <row r="42" spans="1:4" x14ac:dyDescent="0.2">
      <c r="A42" s="84">
        <v>43656</v>
      </c>
      <c r="B42" s="86">
        <f t="shared" si="0"/>
        <v>1252.1739130434783</v>
      </c>
      <c r="C42" s="86">
        <f t="shared" si="0"/>
        <v>10800</v>
      </c>
    </row>
    <row r="43" spans="1:4" x14ac:dyDescent="0.2">
      <c r="A43" s="84">
        <v>43657</v>
      </c>
      <c r="B43" s="86">
        <f t="shared" si="0"/>
        <v>1408.695652173913</v>
      </c>
      <c r="C43" s="86">
        <f t="shared" si="0"/>
        <v>12150</v>
      </c>
    </row>
    <row r="44" spans="1:4" x14ac:dyDescent="0.2">
      <c r="A44" s="84">
        <v>43658</v>
      </c>
      <c r="B44" s="86">
        <f t="shared" si="0"/>
        <v>1565.2173913043478</v>
      </c>
      <c r="C44" s="86">
        <f t="shared" si="0"/>
        <v>13500</v>
      </c>
    </row>
    <row r="45" spans="1:4" x14ac:dyDescent="0.2">
      <c r="A45" s="24">
        <v>43659</v>
      </c>
      <c r="B45" s="28">
        <f t="shared" si="0"/>
        <v>1565.2173913043478</v>
      </c>
      <c r="C45" s="28">
        <f t="shared" si="0"/>
        <v>13500</v>
      </c>
    </row>
    <row r="46" spans="1:4" x14ac:dyDescent="0.2">
      <c r="A46" s="24">
        <v>43660</v>
      </c>
      <c r="B46" s="28">
        <f t="shared" si="0"/>
        <v>1565.2173913043478</v>
      </c>
      <c r="C46" s="28">
        <f t="shared" si="0"/>
        <v>13500</v>
      </c>
    </row>
    <row r="47" spans="1:4" x14ac:dyDescent="0.2">
      <c r="A47" s="84">
        <v>43661</v>
      </c>
      <c r="B47" s="86">
        <f t="shared" si="0"/>
        <v>1721.7391304347825</v>
      </c>
      <c r="C47" s="86">
        <f t="shared" si="0"/>
        <v>14850</v>
      </c>
    </row>
    <row r="48" spans="1:4" x14ac:dyDescent="0.2">
      <c r="A48" s="84">
        <v>43662</v>
      </c>
      <c r="B48" s="86">
        <f t="shared" si="0"/>
        <v>1878.2608695652173</v>
      </c>
      <c r="C48" s="86">
        <f t="shared" si="0"/>
        <v>16200</v>
      </c>
      <c r="D48" s="81"/>
    </row>
    <row r="49" spans="1:4" x14ac:dyDescent="0.2">
      <c r="A49" s="84">
        <v>43663</v>
      </c>
      <c r="B49" s="86">
        <f t="shared" si="0"/>
        <v>2034.782608695652</v>
      </c>
      <c r="C49" s="86">
        <f t="shared" si="0"/>
        <v>17550</v>
      </c>
    </row>
    <row r="50" spans="1:4" x14ac:dyDescent="0.2">
      <c r="A50" s="84">
        <v>43664</v>
      </c>
      <c r="B50" s="86">
        <f t="shared" ref="B50:C63" si="1">B18+B49</f>
        <v>2191.304347826087</v>
      </c>
      <c r="C50" s="86">
        <f t="shared" si="1"/>
        <v>18900</v>
      </c>
      <c r="D50" s="81"/>
    </row>
    <row r="51" spans="1:4" x14ac:dyDescent="0.2">
      <c r="A51" s="84">
        <v>43665</v>
      </c>
      <c r="B51" s="86">
        <f t="shared" si="1"/>
        <v>2347.826086956522</v>
      </c>
      <c r="C51" s="86">
        <f t="shared" si="1"/>
        <v>20250</v>
      </c>
      <c r="D51" s="81">
        <f>B51-C51</f>
        <v>-17902.17391304348</v>
      </c>
    </row>
    <row r="52" spans="1:4" x14ac:dyDescent="0.2">
      <c r="A52" s="24">
        <v>43666</v>
      </c>
      <c r="B52" s="28">
        <f t="shared" si="1"/>
        <v>2347.826086956522</v>
      </c>
      <c r="C52" s="28">
        <f t="shared" si="1"/>
        <v>20250</v>
      </c>
    </row>
    <row r="53" spans="1:4" x14ac:dyDescent="0.2">
      <c r="A53" s="24">
        <v>43667</v>
      </c>
      <c r="B53" s="28">
        <f t="shared" si="1"/>
        <v>2347.826086956522</v>
      </c>
      <c r="C53" s="28">
        <f t="shared" si="1"/>
        <v>20250</v>
      </c>
    </row>
    <row r="54" spans="1:4" x14ac:dyDescent="0.2">
      <c r="A54" s="84">
        <v>43668</v>
      </c>
      <c r="B54" s="86">
        <f t="shared" si="1"/>
        <v>2504.347826086957</v>
      </c>
      <c r="C54" s="86">
        <f t="shared" si="1"/>
        <v>21600</v>
      </c>
    </row>
    <row r="55" spans="1:4" x14ac:dyDescent="0.2">
      <c r="A55" s="84">
        <v>43669</v>
      </c>
      <c r="B55" s="86">
        <f t="shared" si="1"/>
        <v>2660.8695652173919</v>
      </c>
      <c r="C55" s="86">
        <f t="shared" si="1"/>
        <v>22950</v>
      </c>
    </row>
    <row r="56" spans="1:4" x14ac:dyDescent="0.2">
      <c r="A56" s="84">
        <v>43670</v>
      </c>
      <c r="B56" s="86">
        <f t="shared" si="1"/>
        <v>2817.3913043478269</v>
      </c>
      <c r="C56" s="86">
        <f t="shared" si="1"/>
        <v>24300</v>
      </c>
    </row>
    <row r="57" spans="1:4" x14ac:dyDescent="0.2">
      <c r="A57" s="84">
        <v>43671</v>
      </c>
      <c r="B57" s="86">
        <f t="shared" si="1"/>
        <v>2973.9130434782619</v>
      </c>
      <c r="C57" s="86">
        <f t="shared" si="1"/>
        <v>25650</v>
      </c>
    </row>
    <row r="58" spans="1:4" x14ac:dyDescent="0.2">
      <c r="A58" s="84">
        <v>43672</v>
      </c>
      <c r="B58" s="86">
        <f t="shared" si="1"/>
        <v>3130.4347826086969</v>
      </c>
      <c r="C58" s="86">
        <f t="shared" si="1"/>
        <v>27000</v>
      </c>
    </row>
    <row r="59" spans="1:4" x14ac:dyDescent="0.2">
      <c r="A59" s="24">
        <v>43673</v>
      </c>
      <c r="B59" s="28">
        <f t="shared" si="1"/>
        <v>3130.4347826086969</v>
      </c>
      <c r="C59" s="28">
        <f t="shared" si="1"/>
        <v>27000</v>
      </c>
    </row>
    <row r="60" spans="1:4" x14ac:dyDescent="0.2">
      <c r="A60" s="24">
        <v>43674</v>
      </c>
      <c r="B60" s="28">
        <f t="shared" si="1"/>
        <v>3130.4347826086969</v>
      </c>
      <c r="C60" s="28">
        <f>C28+C59</f>
        <v>27000</v>
      </c>
    </row>
    <row r="61" spans="1:4" x14ac:dyDescent="0.2">
      <c r="A61" s="84">
        <v>43675</v>
      </c>
      <c r="B61" s="86">
        <f t="shared" si="1"/>
        <v>3286.9565217391319</v>
      </c>
      <c r="C61" s="86">
        <f t="shared" si="1"/>
        <v>28350</v>
      </c>
    </row>
    <row r="62" spans="1:4" x14ac:dyDescent="0.2">
      <c r="A62" s="84">
        <v>43676</v>
      </c>
      <c r="B62" s="86">
        <f t="shared" si="1"/>
        <v>3443.4782608695668</v>
      </c>
      <c r="C62" s="86">
        <f t="shared" si="1"/>
        <v>29700</v>
      </c>
    </row>
    <row r="63" spans="1:4" x14ac:dyDescent="0.2">
      <c r="A63" s="84">
        <v>43677</v>
      </c>
      <c r="B63" s="86">
        <f t="shared" si="1"/>
        <v>3600.0000000000018</v>
      </c>
      <c r="C63" s="86">
        <f t="shared" si="1"/>
        <v>31050</v>
      </c>
      <c r="D63" s="81">
        <f>B63-C63</f>
        <v>-27450</v>
      </c>
    </row>
    <row r="67" spans="1:32" ht="15" thickBot="1" x14ac:dyDescent="0.25"/>
    <row r="68" spans="1:32" ht="15" thickBot="1" x14ac:dyDescent="0.25">
      <c r="B68" s="125" t="s">
        <v>25</v>
      </c>
      <c r="C68" s="124"/>
      <c r="D68" s="123" t="s">
        <v>28</v>
      </c>
      <c r="E68" s="126"/>
      <c r="F68" s="125" t="s">
        <v>29</v>
      </c>
      <c r="G68" s="124"/>
      <c r="H68" s="123" t="s">
        <v>67</v>
      </c>
      <c r="I68" s="126"/>
      <c r="J68" s="125" t="s">
        <v>31</v>
      </c>
      <c r="K68" s="124"/>
      <c r="L68" s="123" t="s">
        <v>112</v>
      </c>
      <c r="M68" s="126"/>
      <c r="N68" s="125" t="s">
        <v>110</v>
      </c>
      <c r="O68" s="124"/>
      <c r="P68" s="123" t="s">
        <v>106</v>
      </c>
      <c r="Q68" s="126"/>
      <c r="R68" s="125" t="s">
        <v>167</v>
      </c>
      <c r="S68" s="124"/>
      <c r="T68" s="123" t="s">
        <v>27</v>
      </c>
      <c r="U68" s="126"/>
      <c r="V68" s="125" t="s">
        <v>26</v>
      </c>
      <c r="W68" s="124"/>
      <c r="X68" s="123" t="s">
        <v>66</v>
      </c>
      <c r="Y68" s="124"/>
    </row>
    <row r="69" spans="1:32" x14ac:dyDescent="0.2"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74" t="s">
        <v>144</v>
      </c>
      <c r="Y69" s="73" t="s">
        <v>24</v>
      </c>
      <c r="AA69" s="59" t="s">
        <v>144</v>
      </c>
      <c r="AB69" s="68" t="s">
        <v>24</v>
      </c>
      <c r="AC69" s="63" t="s">
        <v>152</v>
      </c>
      <c r="AD69" s="90"/>
      <c r="AE69" s="90"/>
      <c r="AF69" s="89"/>
    </row>
    <row r="70" spans="1:32" x14ac:dyDescent="0.2">
      <c r="A70" s="84">
        <v>43647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74"/>
      <c r="Y70" s="73"/>
      <c r="AA70" s="57">
        <f>B70+D70+F70+H70+J70+L70+N70+P70+R70+T70+V70+X70</f>
        <v>0</v>
      </c>
      <c r="AB70" s="95">
        <f>C70+E70+G70+I70+K70+M70+O70+Q70+S70+U70+W70+Y70</f>
        <v>0</v>
      </c>
      <c r="AC70" s="64">
        <f>AA70+AB70</f>
        <v>0</v>
      </c>
      <c r="AD70" s="90"/>
      <c r="AE70" s="90"/>
      <c r="AF70" s="89"/>
    </row>
    <row r="71" spans="1:32" x14ac:dyDescent="0.2">
      <c r="A71" s="84">
        <v>43648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74"/>
      <c r="Y71" s="73"/>
      <c r="AA71" s="57">
        <f t="shared" ref="AA71:AB98" si="2">B71+D71+F71+H71+J71+L71+N71+P71+R71+T71+V71+X71</f>
        <v>0</v>
      </c>
      <c r="AB71" s="95">
        <f t="shared" si="2"/>
        <v>0</v>
      </c>
      <c r="AC71" s="64">
        <f t="shared" ref="AC71:AC98" si="3">AA71+AB71</f>
        <v>0</v>
      </c>
      <c r="AD71" s="90"/>
      <c r="AE71" s="90"/>
      <c r="AF71" s="89"/>
    </row>
    <row r="72" spans="1:32" x14ac:dyDescent="0.2">
      <c r="A72" s="84">
        <v>43649</v>
      </c>
      <c r="B72" s="60"/>
      <c r="C72" s="73"/>
      <c r="D72" s="74"/>
      <c r="E72" s="73"/>
      <c r="F72" s="60"/>
      <c r="G72" s="73"/>
      <c r="H72" s="74"/>
      <c r="I72" s="75"/>
      <c r="J72" s="60"/>
      <c r="K72" s="73"/>
      <c r="L72" s="74"/>
      <c r="M72" s="75"/>
      <c r="N72" s="60"/>
      <c r="O72" s="73"/>
      <c r="P72" s="74"/>
      <c r="Q72" s="75"/>
      <c r="R72" s="60"/>
      <c r="S72" s="73"/>
      <c r="T72" s="74"/>
      <c r="U72" s="75"/>
      <c r="V72" s="60"/>
      <c r="W72" s="73"/>
      <c r="X72" s="74"/>
      <c r="Y72" s="73"/>
      <c r="AA72" s="57">
        <f t="shared" si="2"/>
        <v>0</v>
      </c>
      <c r="AB72" s="95">
        <f t="shared" si="2"/>
        <v>0</v>
      </c>
      <c r="AC72" s="64">
        <f t="shared" si="3"/>
        <v>0</v>
      </c>
      <c r="AE72" s="90"/>
      <c r="AF72" s="89"/>
    </row>
    <row r="73" spans="1:32" x14ac:dyDescent="0.2">
      <c r="A73" s="84">
        <v>43650</v>
      </c>
      <c r="B73" s="60"/>
      <c r="C73" s="73"/>
      <c r="D73" s="74"/>
      <c r="E73" s="73"/>
      <c r="F73" s="60"/>
      <c r="G73" s="73"/>
      <c r="H73" s="74"/>
      <c r="I73" s="75"/>
      <c r="J73" s="60"/>
      <c r="K73" s="73"/>
      <c r="L73" s="74"/>
      <c r="M73" s="75"/>
      <c r="N73" s="60"/>
      <c r="O73" s="73"/>
      <c r="P73" s="74"/>
      <c r="Q73" s="75"/>
      <c r="R73" s="60"/>
      <c r="S73" s="73"/>
      <c r="T73" s="74"/>
      <c r="U73" s="75"/>
      <c r="V73" s="60"/>
      <c r="W73" s="73"/>
      <c r="X73" s="74"/>
      <c r="Y73" s="73"/>
      <c r="AA73" s="57">
        <f t="shared" si="2"/>
        <v>0</v>
      </c>
      <c r="AB73" s="95">
        <f t="shared" si="2"/>
        <v>0</v>
      </c>
      <c r="AC73" s="64">
        <f t="shared" si="3"/>
        <v>0</v>
      </c>
      <c r="AD73" s="90"/>
      <c r="AE73" s="90"/>
      <c r="AF73" s="89"/>
    </row>
    <row r="74" spans="1:32" x14ac:dyDescent="0.2">
      <c r="A74" s="84">
        <v>43651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74"/>
      <c r="Y74" s="73"/>
      <c r="AA74" s="57">
        <f t="shared" si="2"/>
        <v>0</v>
      </c>
      <c r="AB74" s="95">
        <f t="shared" si="2"/>
        <v>0</v>
      </c>
      <c r="AC74" s="71">
        <f t="shared" si="3"/>
        <v>0</v>
      </c>
      <c r="AD74" s="72">
        <f>SUM(AC70:AC74)</f>
        <v>0</v>
      </c>
      <c r="AE74" s="90"/>
      <c r="AF74" s="89"/>
    </row>
    <row r="75" spans="1:32" x14ac:dyDescent="0.2">
      <c r="A75" s="24">
        <v>43652</v>
      </c>
      <c r="B75" s="76"/>
      <c r="C75" s="77"/>
      <c r="D75" s="78"/>
      <c r="E75" s="77"/>
      <c r="F75" s="76"/>
      <c r="G75" s="77"/>
      <c r="H75" s="78"/>
      <c r="I75" s="4"/>
      <c r="J75" s="76"/>
      <c r="K75" s="77"/>
      <c r="L75" s="78"/>
      <c r="M75" s="4"/>
      <c r="N75" s="76"/>
      <c r="O75" s="77"/>
      <c r="P75" s="78"/>
      <c r="Q75" s="4"/>
      <c r="R75" s="76"/>
      <c r="S75" s="77"/>
      <c r="T75" s="78"/>
      <c r="U75" s="4"/>
      <c r="V75" s="76"/>
      <c r="W75" s="77"/>
      <c r="X75" s="78"/>
      <c r="Y75" s="77"/>
      <c r="AA75" s="34">
        <f t="shared" si="2"/>
        <v>0</v>
      </c>
      <c r="AB75" s="33">
        <f t="shared" si="2"/>
        <v>0</v>
      </c>
      <c r="AC75" s="51">
        <f t="shared" si="3"/>
        <v>0</v>
      </c>
      <c r="AD75" s="90"/>
      <c r="AE75" s="90"/>
      <c r="AF75" s="89"/>
    </row>
    <row r="76" spans="1:32" x14ac:dyDescent="0.2">
      <c r="A76" s="24">
        <v>43653</v>
      </c>
      <c r="B76" s="76"/>
      <c r="C76" s="77"/>
      <c r="D76" s="78"/>
      <c r="E76" s="77"/>
      <c r="F76" s="76"/>
      <c r="G76" s="77"/>
      <c r="H76" s="78"/>
      <c r="I76" s="4"/>
      <c r="J76" s="76"/>
      <c r="K76" s="77"/>
      <c r="L76" s="78"/>
      <c r="M76" s="4"/>
      <c r="N76" s="76"/>
      <c r="O76" s="77"/>
      <c r="P76" s="78"/>
      <c r="Q76" s="4"/>
      <c r="R76" s="76"/>
      <c r="S76" s="77"/>
      <c r="T76" s="78"/>
      <c r="U76" s="4"/>
      <c r="V76" s="76"/>
      <c r="W76" s="77"/>
      <c r="X76" s="78"/>
      <c r="Y76" s="77"/>
      <c r="AA76" s="34">
        <f t="shared" si="2"/>
        <v>0</v>
      </c>
      <c r="AB76" s="33">
        <f t="shared" si="2"/>
        <v>0</v>
      </c>
      <c r="AC76" s="51">
        <f t="shared" si="3"/>
        <v>0</v>
      </c>
      <c r="AD76" s="90"/>
      <c r="AE76" s="90"/>
      <c r="AF76" s="89"/>
    </row>
    <row r="77" spans="1:32" x14ac:dyDescent="0.2">
      <c r="A77" s="84">
        <v>43654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74"/>
      <c r="Y77" s="73"/>
      <c r="AA77" s="57">
        <f t="shared" si="2"/>
        <v>0</v>
      </c>
      <c r="AB77" s="95">
        <f t="shared" si="2"/>
        <v>0</v>
      </c>
      <c r="AC77" s="64">
        <f t="shared" si="3"/>
        <v>0</v>
      </c>
      <c r="AD77" s="90"/>
      <c r="AE77" s="90"/>
      <c r="AF77" s="89"/>
    </row>
    <row r="78" spans="1:32" x14ac:dyDescent="0.2">
      <c r="A78" s="84">
        <v>43655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74"/>
      <c r="Y78" s="73"/>
      <c r="AA78" s="57">
        <f t="shared" si="2"/>
        <v>0</v>
      </c>
      <c r="AB78" s="95">
        <f t="shared" si="2"/>
        <v>0</v>
      </c>
      <c r="AC78" s="64">
        <f t="shared" si="3"/>
        <v>0</v>
      </c>
      <c r="AD78" s="90"/>
      <c r="AE78" s="90"/>
      <c r="AF78" s="89"/>
    </row>
    <row r="79" spans="1:32" x14ac:dyDescent="0.2">
      <c r="A79" s="84">
        <v>43656</v>
      </c>
      <c r="B79" s="60"/>
      <c r="C79" s="73"/>
      <c r="D79" s="79"/>
      <c r="E79" s="73"/>
      <c r="F79" s="60"/>
      <c r="G79" s="73"/>
      <c r="H79" s="74"/>
      <c r="I79" s="75"/>
      <c r="J79" s="60"/>
      <c r="K79" s="73"/>
      <c r="L79" s="74"/>
      <c r="M79" s="75"/>
      <c r="N79" s="60"/>
      <c r="O79" s="73"/>
      <c r="P79" s="74"/>
      <c r="Q79" s="75"/>
      <c r="R79" s="60"/>
      <c r="S79" s="73"/>
      <c r="T79" s="74"/>
      <c r="U79" s="75"/>
      <c r="V79" s="60"/>
      <c r="W79" s="73"/>
      <c r="X79" s="74"/>
      <c r="Y79" s="73"/>
      <c r="AA79" s="57">
        <f t="shared" si="2"/>
        <v>0</v>
      </c>
      <c r="AB79" s="95">
        <f t="shared" si="2"/>
        <v>0</v>
      </c>
      <c r="AC79" s="64">
        <f t="shared" si="3"/>
        <v>0</v>
      </c>
      <c r="AE79" s="90"/>
      <c r="AF79" s="89"/>
    </row>
    <row r="80" spans="1:32" x14ac:dyDescent="0.2">
      <c r="A80" s="84">
        <v>43657</v>
      </c>
      <c r="B80" s="60"/>
      <c r="C80" s="73"/>
      <c r="D80" s="79"/>
      <c r="E80" s="73"/>
      <c r="F80" s="60"/>
      <c r="G80" s="73"/>
      <c r="H80" s="74"/>
      <c r="I80" s="75"/>
      <c r="J80" s="60"/>
      <c r="K80" s="73"/>
      <c r="L80" s="74"/>
      <c r="M80" s="75"/>
      <c r="N80" s="60"/>
      <c r="O80" s="73"/>
      <c r="P80" s="74"/>
      <c r="Q80" s="75"/>
      <c r="R80" s="60"/>
      <c r="S80" s="73"/>
      <c r="T80" s="74"/>
      <c r="U80" s="75"/>
      <c r="V80" s="60"/>
      <c r="W80" s="73"/>
      <c r="X80" s="74"/>
      <c r="Y80" s="73"/>
      <c r="AA80" s="57">
        <f t="shared" si="2"/>
        <v>0</v>
      </c>
      <c r="AB80" s="95">
        <f t="shared" si="2"/>
        <v>0</v>
      </c>
      <c r="AC80" s="64">
        <f t="shared" si="3"/>
        <v>0</v>
      </c>
      <c r="AD80" s="90"/>
      <c r="AE80" s="90"/>
      <c r="AF80" s="89"/>
    </row>
    <row r="81" spans="1:32" x14ac:dyDescent="0.2">
      <c r="A81" s="84">
        <v>43658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74"/>
      <c r="Y81" s="73"/>
      <c r="AA81" s="57">
        <f t="shared" si="2"/>
        <v>0</v>
      </c>
      <c r="AB81" s="95">
        <f t="shared" si="2"/>
        <v>0</v>
      </c>
      <c r="AC81" s="71">
        <f t="shared" si="3"/>
        <v>0</v>
      </c>
      <c r="AD81" s="72">
        <f>SUM(AC77:AC81)</f>
        <v>0</v>
      </c>
      <c r="AE81" s="90"/>
      <c r="AF81" s="89"/>
    </row>
    <row r="82" spans="1:32" x14ac:dyDescent="0.2">
      <c r="A82" s="24">
        <v>43659</v>
      </c>
      <c r="B82" s="76"/>
      <c r="C82" s="77"/>
      <c r="D82" s="78"/>
      <c r="E82" s="77"/>
      <c r="F82" s="76"/>
      <c r="G82" s="77"/>
      <c r="H82" s="78"/>
      <c r="I82" s="4"/>
      <c r="J82" s="76"/>
      <c r="K82" s="77"/>
      <c r="L82" s="78"/>
      <c r="M82" s="4"/>
      <c r="N82" s="76"/>
      <c r="O82" s="77"/>
      <c r="P82" s="78"/>
      <c r="Q82" s="4"/>
      <c r="R82" s="76"/>
      <c r="S82" s="77"/>
      <c r="T82" s="78"/>
      <c r="U82" s="4"/>
      <c r="V82" s="76"/>
      <c r="W82" s="77"/>
      <c r="X82" s="78"/>
      <c r="Y82" s="77"/>
      <c r="AA82" s="34">
        <f t="shared" si="2"/>
        <v>0</v>
      </c>
      <c r="AB82" s="33">
        <f t="shared" si="2"/>
        <v>0</v>
      </c>
      <c r="AC82" s="51">
        <f t="shared" si="3"/>
        <v>0</v>
      </c>
      <c r="AD82" s="90"/>
      <c r="AE82" s="90"/>
      <c r="AF82" s="89"/>
    </row>
    <row r="83" spans="1:32" x14ac:dyDescent="0.2">
      <c r="A83" s="24">
        <v>43660</v>
      </c>
      <c r="B83" s="76"/>
      <c r="C83" s="77"/>
      <c r="D83" s="78"/>
      <c r="E83" s="77"/>
      <c r="F83" s="76"/>
      <c r="G83" s="77"/>
      <c r="H83" s="78"/>
      <c r="I83" s="4"/>
      <c r="J83" s="76"/>
      <c r="K83" s="77"/>
      <c r="L83" s="78"/>
      <c r="M83" s="4"/>
      <c r="N83" s="76"/>
      <c r="O83" s="77"/>
      <c r="P83" s="78"/>
      <c r="Q83" s="4"/>
      <c r="R83" s="76"/>
      <c r="S83" s="77"/>
      <c r="T83" s="78"/>
      <c r="U83" s="4"/>
      <c r="V83" s="76"/>
      <c r="W83" s="77"/>
      <c r="X83" s="78"/>
      <c r="Y83" s="77"/>
      <c r="AA83" s="34">
        <f t="shared" si="2"/>
        <v>0</v>
      </c>
      <c r="AB83" s="33">
        <f t="shared" si="2"/>
        <v>0</v>
      </c>
      <c r="AC83" s="51">
        <f t="shared" si="3"/>
        <v>0</v>
      </c>
      <c r="AD83" s="90"/>
      <c r="AE83" s="90"/>
      <c r="AF83" s="89"/>
    </row>
    <row r="84" spans="1:32" x14ac:dyDescent="0.2">
      <c r="A84" s="84">
        <v>43661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74"/>
      <c r="Y84" s="73"/>
      <c r="AA84" s="57">
        <f t="shared" si="2"/>
        <v>0</v>
      </c>
      <c r="AB84" s="95">
        <f t="shared" si="2"/>
        <v>0</v>
      </c>
      <c r="AC84" s="64">
        <f t="shared" si="3"/>
        <v>0</v>
      </c>
      <c r="AD84" s="90"/>
      <c r="AE84" s="90"/>
      <c r="AF84" s="89"/>
    </row>
    <row r="85" spans="1:32" x14ac:dyDescent="0.2">
      <c r="A85" s="84">
        <v>43662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74"/>
      <c r="Y85" s="73"/>
      <c r="AA85" s="57">
        <f t="shared" si="2"/>
        <v>0</v>
      </c>
      <c r="AB85" s="95">
        <f t="shared" si="2"/>
        <v>0</v>
      </c>
      <c r="AC85" s="64">
        <f t="shared" si="3"/>
        <v>0</v>
      </c>
      <c r="AD85" s="90"/>
      <c r="AE85" s="90"/>
      <c r="AF85" s="89"/>
    </row>
    <row r="86" spans="1:32" x14ac:dyDescent="0.2">
      <c r="A86" s="84">
        <v>43663</v>
      </c>
      <c r="B86" s="60"/>
      <c r="C86" s="73"/>
      <c r="D86" s="74"/>
      <c r="E86" s="73"/>
      <c r="F86" s="60"/>
      <c r="G86" s="73"/>
      <c r="H86" s="74"/>
      <c r="I86" s="75"/>
      <c r="J86" s="60"/>
      <c r="K86" s="73"/>
      <c r="L86" s="74"/>
      <c r="M86" s="75"/>
      <c r="N86" s="60"/>
      <c r="O86" s="73"/>
      <c r="P86" s="74"/>
      <c r="Q86" s="75"/>
      <c r="R86" s="60"/>
      <c r="S86" s="73"/>
      <c r="T86" s="74"/>
      <c r="U86" s="75"/>
      <c r="V86" s="60"/>
      <c r="W86" s="73"/>
      <c r="X86" s="74"/>
      <c r="Y86" s="73"/>
      <c r="AA86" s="57">
        <f t="shared" si="2"/>
        <v>0</v>
      </c>
      <c r="AB86" s="95">
        <f t="shared" si="2"/>
        <v>0</v>
      </c>
      <c r="AC86" s="64">
        <f t="shared" si="3"/>
        <v>0</v>
      </c>
      <c r="AE86" s="90"/>
      <c r="AF86" s="89"/>
    </row>
    <row r="87" spans="1:32" x14ac:dyDescent="0.2">
      <c r="A87" s="84">
        <v>43664</v>
      </c>
      <c r="B87" s="60"/>
      <c r="C87" s="73"/>
      <c r="D87" s="74"/>
      <c r="E87" s="73"/>
      <c r="F87" s="60"/>
      <c r="G87" s="73"/>
      <c r="H87" s="74"/>
      <c r="I87" s="75"/>
      <c r="J87" s="60"/>
      <c r="K87" s="73"/>
      <c r="L87" s="74"/>
      <c r="M87" s="75"/>
      <c r="N87" s="60"/>
      <c r="O87" s="73"/>
      <c r="P87" s="74"/>
      <c r="Q87" s="75"/>
      <c r="R87" s="60"/>
      <c r="S87" s="73"/>
      <c r="T87" s="74"/>
      <c r="U87" s="75"/>
      <c r="V87" s="60"/>
      <c r="W87" s="73"/>
      <c r="X87" s="74"/>
      <c r="Y87" s="73"/>
      <c r="AA87" s="57">
        <f t="shared" si="2"/>
        <v>0</v>
      </c>
      <c r="AB87" s="95">
        <f t="shared" si="2"/>
        <v>0</v>
      </c>
      <c r="AC87" s="64">
        <f t="shared" si="3"/>
        <v>0</v>
      </c>
      <c r="AD87" s="90"/>
      <c r="AE87" s="90"/>
      <c r="AF87" s="89"/>
    </row>
    <row r="88" spans="1:32" x14ac:dyDescent="0.2">
      <c r="A88" s="84">
        <v>43665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74"/>
      <c r="Y88" s="73"/>
      <c r="AA88" s="57">
        <f t="shared" si="2"/>
        <v>0</v>
      </c>
      <c r="AB88" s="95">
        <f t="shared" si="2"/>
        <v>0</v>
      </c>
      <c r="AC88" s="71">
        <f t="shared" si="3"/>
        <v>0</v>
      </c>
      <c r="AD88" s="72">
        <f>SUM(AC84:AC88)</f>
        <v>0</v>
      </c>
      <c r="AE88" s="90"/>
      <c r="AF88" s="89"/>
    </row>
    <row r="89" spans="1:32" x14ac:dyDescent="0.2">
      <c r="A89" s="24">
        <v>43666</v>
      </c>
      <c r="B89" s="76"/>
      <c r="C89" s="77"/>
      <c r="D89" s="78"/>
      <c r="E89" s="77"/>
      <c r="F89" s="76"/>
      <c r="G89" s="77"/>
      <c r="H89" s="78"/>
      <c r="I89" s="4"/>
      <c r="J89" s="76"/>
      <c r="K89" s="77"/>
      <c r="L89" s="78"/>
      <c r="M89" s="4"/>
      <c r="N89" s="76"/>
      <c r="O89" s="77"/>
      <c r="P89" s="78"/>
      <c r="Q89" s="4"/>
      <c r="R89" s="76"/>
      <c r="S89" s="77"/>
      <c r="T89" s="78"/>
      <c r="U89" s="4"/>
      <c r="V89" s="76"/>
      <c r="W89" s="77"/>
      <c r="X89" s="78"/>
      <c r="Y89" s="77"/>
      <c r="AA89" s="34">
        <f t="shared" si="2"/>
        <v>0</v>
      </c>
      <c r="AB89" s="33">
        <f t="shared" si="2"/>
        <v>0</v>
      </c>
      <c r="AC89" s="51">
        <f t="shared" si="3"/>
        <v>0</v>
      </c>
      <c r="AD89" s="90"/>
      <c r="AE89" s="90"/>
      <c r="AF89" s="89"/>
    </row>
    <row r="90" spans="1:32" x14ac:dyDescent="0.2">
      <c r="A90" s="24">
        <v>43667</v>
      </c>
      <c r="B90" s="76"/>
      <c r="C90" s="77"/>
      <c r="D90" s="78"/>
      <c r="E90" s="77"/>
      <c r="F90" s="76"/>
      <c r="G90" s="77"/>
      <c r="H90" s="78"/>
      <c r="I90" s="4"/>
      <c r="J90" s="76"/>
      <c r="K90" s="77"/>
      <c r="L90" s="78"/>
      <c r="M90" s="4"/>
      <c r="N90" s="76"/>
      <c r="O90" s="77"/>
      <c r="P90" s="78"/>
      <c r="Q90" s="4"/>
      <c r="R90" s="76"/>
      <c r="S90" s="77"/>
      <c r="T90" s="78"/>
      <c r="U90" s="4"/>
      <c r="V90" s="76"/>
      <c r="W90" s="77"/>
      <c r="X90" s="78"/>
      <c r="Y90" s="77"/>
      <c r="AA90" s="34">
        <f t="shared" si="2"/>
        <v>0</v>
      </c>
      <c r="AB90" s="33">
        <f t="shared" si="2"/>
        <v>0</v>
      </c>
      <c r="AC90" s="51">
        <f t="shared" si="3"/>
        <v>0</v>
      </c>
      <c r="AD90" s="90"/>
      <c r="AE90" s="90"/>
      <c r="AF90" s="89"/>
    </row>
    <row r="91" spans="1:32" x14ac:dyDescent="0.2">
      <c r="A91" s="84">
        <v>43668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74"/>
      <c r="Y91" s="73"/>
      <c r="AA91" s="57">
        <f t="shared" si="2"/>
        <v>0</v>
      </c>
      <c r="AB91" s="95">
        <f t="shared" si="2"/>
        <v>0</v>
      </c>
      <c r="AC91" s="64">
        <f t="shared" si="3"/>
        <v>0</v>
      </c>
      <c r="AD91" s="90"/>
      <c r="AE91" s="90"/>
      <c r="AF91" s="89"/>
    </row>
    <row r="92" spans="1:32" x14ac:dyDescent="0.2">
      <c r="A92" s="84">
        <v>43669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74"/>
      <c r="Y92" s="73"/>
      <c r="AA92" s="57">
        <f t="shared" si="2"/>
        <v>0</v>
      </c>
      <c r="AB92" s="95">
        <f t="shared" si="2"/>
        <v>0</v>
      </c>
      <c r="AC92" s="64">
        <f t="shared" si="3"/>
        <v>0</v>
      </c>
      <c r="AD92" s="90"/>
      <c r="AE92" s="90"/>
      <c r="AF92" s="89"/>
    </row>
    <row r="93" spans="1:32" x14ac:dyDescent="0.2">
      <c r="A93" s="84">
        <v>43670</v>
      </c>
      <c r="B93" s="60"/>
      <c r="C93" s="73"/>
      <c r="D93" s="74"/>
      <c r="E93" s="73"/>
      <c r="F93" s="60"/>
      <c r="G93" s="73"/>
      <c r="H93" s="74"/>
      <c r="I93" s="75"/>
      <c r="J93" s="60"/>
      <c r="K93" s="73"/>
      <c r="L93" s="74"/>
      <c r="M93" s="75"/>
      <c r="N93" s="60"/>
      <c r="O93" s="73"/>
      <c r="P93" s="74"/>
      <c r="Q93" s="75"/>
      <c r="R93" s="60"/>
      <c r="S93" s="73"/>
      <c r="T93" s="74"/>
      <c r="U93" s="75"/>
      <c r="V93" s="60"/>
      <c r="W93" s="73"/>
      <c r="X93" s="74"/>
      <c r="Y93" s="73"/>
      <c r="AA93" s="57">
        <f t="shared" si="2"/>
        <v>0</v>
      </c>
      <c r="AB93" s="95">
        <f t="shared" si="2"/>
        <v>0</v>
      </c>
      <c r="AC93" s="64">
        <f t="shared" si="3"/>
        <v>0</v>
      </c>
      <c r="AE93" s="90"/>
      <c r="AF93" s="89"/>
    </row>
    <row r="94" spans="1:32" x14ac:dyDescent="0.2">
      <c r="A94" s="84">
        <v>43671</v>
      </c>
      <c r="B94" s="60"/>
      <c r="C94" s="73"/>
      <c r="D94" s="74"/>
      <c r="E94" s="73"/>
      <c r="F94" s="60"/>
      <c r="G94" s="73"/>
      <c r="H94" s="74"/>
      <c r="I94" s="75"/>
      <c r="J94" s="60"/>
      <c r="K94" s="73"/>
      <c r="L94" s="74"/>
      <c r="M94" s="75"/>
      <c r="N94" s="60"/>
      <c r="O94" s="73"/>
      <c r="P94" s="74"/>
      <c r="Q94" s="75"/>
      <c r="R94" s="60"/>
      <c r="S94" s="73"/>
      <c r="T94" s="74"/>
      <c r="U94" s="75"/>
      <c r="V94" s="60"/>
      <c r="W94" s="73"/>
      <c r="X94" s="74"/>
      <c r="Y94" s="73"/>
      <c r="AA94" s="57">
        <f t="shared" si="2"/>
        <v>0</v>
      </c>
      <c r="AB94" s="95">
        <f t="shared" si="2"/>
        <v>0</v>
      </c>
      <c r="AC94" s="64">
        <f t="shared" si="3"/>
        <v>0</v>
      </c>
      <c r="AD94" s="90"/>
      <c r="AE94" s="90"/>
      <c r="AF94" s="89"/>
    </row>
    <row r="95" spans="1:32" x14ac:dyDescent="0.2">
      <c r="A95" s="84">
        <v>43672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74"/>
      <c r="Y95" s="73"/>
      <c r="AA95" s="57">
        <f t="shared" si="2"/>
        <v>0</v>
      </c>
      <c r="AB95" s="95">
        <f t="shared" si="2"/>
        <v>0</v>
      </c>
      <c r="AC95" s="71">
        <f t="shared" si="3"/>
        <v>0</v>
      </c>
      <c r="AD95" s="72">
        <f>SUM(AC91:AC95)</f>
        <v>0</v>
      </c>
      <c r="AE95" s="90"/>
      <c r="AF95" s="89"/>
    </row>
    <row r="96" spans="1:32" x14ac:dyDescent="0.2">
      <c r="A96" s="24">
        <v>43673</v>
      </c>
      <c r="B96" s="76"/>
      <c r="C96" s="77"/>
      <c r="D96" s="78"/>
      <c r="E96" s="77"/>
      <c r="F96" s="76"/>
      <c r="G96" s="77"/>
      <c r="H96" s="78"/>
      <c r="I96" s="4"/>
      <c r="J96" s="76"/>
      <c r="K96" s="77"/>
      <c r="L96" s="78"/>
      <c r="M96" s="4"/>
      <c r="N96" s="76"/>
      <c r="O96" s="77"/>
      <c r="P96" s="78"/>
      <c r="Q96" s="4"/>
      <c r="R96" s="76"/>
      <c r="S96" s="77"/>
      <c r="T96" s="78"/>
      <c r="U96" s="4"/>
      <c r="V96" s="76"/>
      <c r="W96" s="77"/>
      <c r="X96" s="78"/>
      <c r="Y96" s="77"/>
      <c r="AA96" s="34">
        <f t="shared" si="2"/>
        <v>0</v>
      </c>
      <c r="AB96" s="33">
        <f t="shared" si="2"/>
        <v>0</v>
      </c>
      <c r="AC96" s="51">
        <f t="shared" si="3"/>
        <v>0</v>
      </c>
      <c r="AD96" s="90"/>
      <c r="AE96" s="90"/>
      <c r="AF96" s="89"/>
    </row>
    <row r="97" spans="1:32" x14ac:dyDescent="0.2">
      <c r="A97" s="24">
        <v>43674</v>
      </c>
      <c r="B97" s="76"/>
      <c r="C97" s="77"/>
      <c r="D97" s="78"/>
      <c r="E97" s="77"/>
      <c r="F97" s="76"/>
      <c r="G97" s="77"/>
      <c r="H97" s="78"/>
      <c r="I97" s="4"/>
      <c r="J97" s="76"/>
      <c r="K97" s="77"/>
      <c r="L97" s="78"/>
      <c r="M97" s="4"/>
      <c r="N97" s="76"/>
      <c r="O97" s="77"/>
      <c r="P97" s="78"/>
      <c r="Q97" s="4"/>
      <c r="R97" s="76"/>
      <c r="S97" s="77"/>
      <c r="T97" s="78"/>
      <c r="U97" s="4"/>
      <c r="V97" s="76"/>
      <c r="W97" s="77"/>
      <c r="X97" s="78"/>
      <c r="Y97" s="77"/>
      <c r="AA97" s="34">
        <f t="shared" si="2"/>
        <v>0</v>
      </c>
      <c r="AB97" s="33">
        <f t="shared" si="2"/>
        <v>0</v>
      </c>
      <c r="AC97" s="51">
        <f t="shared" si="3"/>
        <v>0</v>
      </c>
      <c r="AD97" s="90"/>
      <c r="AE97" s="90"/>
      <c r="AF97" s="89"/>
    </row>
    <row r="98" spans="1:32" x14ac:dyDescent="0.2">
      <c r="A98" s="84">
        <v>43675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74"/>
      <c r="Y98" s="73"/>
      <c r="AA98" s="57">
        <f t="shared" si="2"/>
        <v>0</v>
      </c>
      <c r="AB98" s="95">
        <f t="shared" si="2"/>
        <v>0</v>
      </c>
      <c r="AC98" s="64">
        <f t="shared" si="3"/>
        <v>0</v>
      </c>
      <c r="AD98" s="90"/>
      <c r="AE98" s="90"/>
      <c r="AF98" s="89"/>
    </row>
    <row r="99" spans="1:32" x14ac:dyDescent="0.2">
      <c r="A99" s="84">
        <v>43676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74"/>
      <c r="Y99" s="73"/>
      <c r="AA99" s="57">
        <f t="shared" ref="AA99:AB101" si="4">B99+D99+F99+H99+J99+L99+N99+P99+R99+T99+V99+X99</f>
        <v>0</v>
      </c>
      <c r="AB99" s="95">
        <f t="shared" si="4"/>
        <v>0</v>
      </c>
      <c r="AC99" s="64">
        <f>AA99+AB99</f>
        <v>0</v>
      </c>
      <c r="AD99" s="90"/>
      <c r="AE99" s="90"/>
      <c r="AF99" s="89"/>
    </row>
    <row r="100" spans="1:32" x14ac:dyDescent="0.2">
      <c r="A100" s="84">
        <v>43677</v>
      </c>
      <c r="B100" s="60"/>
      <c r="C100" s="73"/>
      <c r="D100" s="74"/>
      <c r="E100" s="75"/>
      <c r="F100" s="60"/>
      <c r="G100" s="73"/>
      <c r="H100" s="74"/>
      <c r="I100" s="75"/>
      <c r="J100" s="60"/>
      <c r="K100" s="73"/>
      <c r="L100" s="74"/>
      <c r="M100" s="75"/>
      <c r="N100" s="60"/>
      <c r="O100" s="73"/>
      <c r="P100" s="74"/>
      <c r="Q100" s="75"/>
      <c r="R100" s="60"/>
      <c r="S100" s="73"/>
      <c r="T100" s="74"/>
      <c r="U100" s="75"/>
      <c r="V100" s="60"/>
      <c r="W100" s="73"/>
      <c r="X100" s="74"/>
      <c r="Y100" s="73"/>
      <c r="AA100" s="57">
        <f t="shared" si="4"/>
        <v>0</v>
      </c>
      <c r="AB100" s="95">
        <f t="shared" si="4"/>
        <v>0</v>
      </c>
      <c r="AC100" s="64">
        <f>AA100+AB100</f>
        <v>0</v>
      </c>
      <c r="AE100" s="90"/>
      <c r="AF100" s="89"/>
    </row>
    <row r="101" spans="1:32" ht="15" thickBot="1" x14ac:dyDescent="0.25">
      <c r="B101" s="62">
        <f>SUM(B70:B100)</f>
        <v>0</v>
      </c>
      <c r="C101" s="66">
        <f>SUM(C70:C100)</f>
        <v>0</v>
      </c>
      <c r="D101" s="61">
        <f t="shared" ref="D101:U101" si="5">SUM(D70:D100)</f>
        <v>0</v>
      </c>
      <c r="E101" s="67">
        <f t="shared" si="5"/>
        <v>0</v>
      </c>
      <c r="F101" s="62">
        <f t="shared" si="5"/>
        <v>0</v>
      </c>
      <c r="G101" s="66">
        <f t="shared" si="5"/>
        <v>0</v>
      </c>
      <c r="H101" s="61">
        <f t="shared" si="5"/>
        <v>0</v>
      </c>
      <c r="I101" s="67">
        <f t="shared" si="5"/>
        <v>0</v>
      </c>
      <c r="J101" s="62">
        <f t="shared" si="5"/>
        <v>0</v>
      </c>
      <c r="K101" s="66">
        <f t="shared" si="5"/>
        <v>0</v>
      </c>
      <c r="L101" s="61">
        <f t="shared" si="5"/>
        <v>0</v>
      </c>
      <c r="M101" s="67">
        <f t="shared" si="5"/>
        <v>0</v>
      </c>
      <c r="N101" s="62">
        <f t="shared" si="5"/>
        <v>0</v>
      </c>
      <c r="O101" s="66">
        <f t="shared" si="5"/>
        <v>0</v>
      </c>
      <c r="P101" s="61">
        <f t="shared" si="5"/>
        <v>0</v>
      </c>
      <c r="Q101" s="67">
        <f t="shared" si="5"/>
        <v>0</v>
      </c>
      <c r="R101" s="62">
        <f t="shared" si="5"/>
        <v>0</v>
      </c>
      <c r="S101" s="66">
        <f t="shared" si="5"/>
        <v>0</v>
      </c>
      <c r="T101" s="61">
        <f t="shared" si="5"/>
        <v>0</v>
      </c>
      <c r="U101" s="67">
        <f t="shared" si="5"/>
        <v>0</v>
      </c>
      <c r="V101" s="62">
        <f>SUM(V70:V100)</f>
        <v>0</v>
      </c>
      <c r="W101" s="66">
        <f>SUM(W70:W100)</f>
        <v>0</v>
      </c>
      <c r="X101" s="61">
        <f>SUM(X70:X100)</f>
        <v>0</v>
      </c>
      <c r="Y101" s="66">
        <f>SUM(Y70:Y100)</f>
        <v>0</v>
      </c>
      <c r="AA101" s="58">
        <f t="shared" si="4"/>
        <v>0</v>
      </c>
      <c r="AB101" s="96">
        <f t="shared" si="4"/>
        <v>0</v>
      </c>
      <c r="AC101" s="65">
        <f>AA101+AB101</f>
        <v>0</v>
      </c>
      <c r="AD101" s="72">
        <f>SUM(AC98:AC101)</f>
        <v>0</v>
      </c>
      <c r="AE101" s="90"/>
      <c r="AF101" s="89"/>
    </row>
    <row r="102" spans="1:32" x14ac:dyDescent="0.2">
      <c r="AD102" s="90"/>
      <c r="AE102" s="90"/>
      <c r="AF102" s="89"/>
    </row>
    <row r="103" spans="1:32" x14ac:dyDescent="0.2">
      <c r="AD103" s="90"/>
      <c r="AE103" s="90"/>
    </row>
    <row r="104" spans="1:32" x14ac:dyDescent="0.2">
      <c r="AD104" s="89"/>
      <c r="AE104" s="89"/>
    </row>
    <row r="105" spans="1:32" x14ac:dyDescent="0.2">
      <c r="B105" s="35" t="s">
        <v>150</v>
      </c>
      <c r="C105" s="36">
        <f>B101+D101+F101+H101+J101+L101+N101+P101+R101+T101+V101+X101</f>
        <v>0</v>
      </c>
      <c r="AD105" s="89"/>
      <c r="AE105" s="89"/>
    </row>
    <row r="106" spans="1:32" x14ac:dyDescent="0.2">
      <c r="B106" s="37" t="s">
        <v>151</v>
      </c>
      <c r="C106" s="38">
        <f>C101+E101+G101+I101+K101+M101+O101+Q101+S101+U101+W101+Y101</f>
        <v>0</v>
      </c>
      <c r="AD106" s="89"/>
      <c r="AE106" s="89"/>
    </row>
    <row r="107" spans="1:32" x14ac:dyDescent="0.2">
      <c r="AD107" s="89"/>
      <c r="AE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1C51-16B0-4999-A759-AB0BF1D08358}">
  <sheetPr codeName="Foglio17"/>
  <dimension ref="A1:AF107"/>
  <sheetViews>
    <sheetView zoomScale="85" zoomScaleNormal="85" workbookViewId="0">
      <selection activeCell="AD99" sqref="AD99"/>
    </sheetView>
  </sheetViews>
  <sheetFormatPr defaultRowHeight="14.25" x14ac:dyDescent="0.2"/>
  <cols>
    <col min="1" max="1" width="25.875" customWidth="1"/>
    <col min="2" max="25" width="12.375" customWidth="1"/>
  </cols>
  <sheetData>
    <row r="1" spans="1:6" x14ac:dyDescent="0.2">
      <c r="A1" s="87">
        <v>43678</v>
      </c>
      <c r="B1" s="82">
        <v>211.76470588235293</v>
      </c>
      <c r="C1" s="83">
        <v>1350</v>
      </c>
      <c r="E1" s="55"/>
      <c r="F1" s="56"/>
    </row>
    <row r="2" spans="1:6" x14ac:dyDescent="0.2">
      <c r="A2" s="87">
        <v>43679</v>
      </c>
      <c r="B2" s="82">
        <v>211.76470588235293</v>
      </c>
      <c r="C2" s="83">
        <v>1350</v>
      </c>
      <c r="E2" s="55"/>
      <c r="F2" s="56"/>
    </row>
    <row r="3" spans="1:6" x14ac:dyDescent="0.2">
      <c r="A3" s="88">
        <v>43680</v>
      </c>
      <c r="B3" s="25">
        <v>0</v>
      </c>
      <c r="C3" s="26">
        <v>0</v>
      </c>
    </row>
    <row r="4" spans="1:6" x14ac:dyDescent="0.2">
      <c r="A4" s="88">
        <v>43681</v>
      </c>
      <c r="B4" s="25">
        <v>0</v>
      </c>
      <c r="C4" s="26">
        <v>0</v>
      </c>
      <c r="E4" s="29" t="s">
        <v>148</v>
      </c>
      <c r="F4" s="30">
        <f>SUM(B1:B2)</f>
        <v>423.52941176470586</v>
      </c>
    </row>
    <row r="5" spans="1:6" x14ac:dyDescent="0.2">
      <c r="A5" s="87">
        <v>43682</v>
      </c>
      <c r="B5" s="82">
        <v>211.76470588235293</v>
      </c>
      <c r="C5" s="83">
        <v>1350</v>
      </c>
      <c r="E5" s="29" t="s">
        <v>149</v>
      </c>
      <c r="F5" s="32">
        <f>F4/2</f>
        <v>211.76470588235293</v>
      </c>
    </row>
    <row r="6" spans="1:6" x14ac:dyDescent="0.2">
      <c r="A6" s="87">
        <v>43683</v>
      </c>
      <c r="B6" s="82">
        <v>211.76470588235293</v>
      </c>
      <c r="C6" s="83">
        <v>1350</v>
      </c>
    </row>
    <row r="7" spans="1:6" x14ac:dyDescent="0.2">
      <c r="A7" s="87">
        <v>43684</v>
      </c>
      <c r="B7" s="82">
        <v>211.76470588235293</v>
      </c>
      <c r="C7" s="83">
        <v>1350</v>
      </c>
    </row>
    <row r="8" spans="1:6" x14ac:dyDescent="0.2">
      <c r="A8" s="87">
        <v>43685</v>
      </c>
      <c r="B8" s="82">
        <v>211.76470588235293</v>
      </c>
      <c r="C8" s="83">
        <v>1350</v>
      </c>
    </row>
    <row r="9" spans="1:6" x14ac:dyDescent="0.2">
      <c r="A9" s="87">
        <v>43686</v>
      </c>
      <c r="B9" s="82">
        <v>211.76470588235293</v>
      </c>
      <c r="C9" s="83">
        <v>1350</v>
      </c>
    </row>
    <row r="10" spans="1:6" x14ac:dyDescent="0.2">
      <c r="A10" s="88">
        <v>43687</v>
      </c>
      <c r="B10" s="25">
        <v>0</v>
      </c>
      <c r="C10" s="26">
        <v>0</v>
      </c>
    </row>
    <row r="11" spans="1:6" x14ac:dyDescent="0.2">
      <c r="A11" s="88">
        <v>43688</v>
      </c>
      <c r="B11" s="25">
        <v>0</v>
      </c>
      <c r="C11" s="26">
        <v>0</v>
      </c>
      <c r="E11" s="29" t="s">
        <v>148</v>
      </c>
      <c r="F11" s="30">
        <f>SUM(B5:B9)</f>
        <v>1058.8235294117646</v>
      </c>
    </row>
    <row r="12" spans="1:6" x14ac:dyDescent="0.2">
      <c r="A12" s="88">
        <v>43689</v>
      </c>
      <c r="B12" s="25">
        <v>0</v>
      </c>
      <c r="C12" s="26">
        <v>0</v>
      </c>
      <c r="E12" s="29" t="s">
        <v>149</v>
      </c>
      <c r="F12" s="31">
        <f>F11/5</f>
        <v>211.76470588235293</v>
      </c>
    </row>
    <row r="13" spans="1:6" x14ac:dyDescent="0.2">
      <c r="A13" s="88">
        <v>43690</v>
      </c>
      <c r="B13" s="25">
        <v>0</v>
      </c>
      <c r="C13" s="26">
        <v>0</v>
      </c>
    </row>
    <row r="14" spans="1:6" x14ac:dyDescent="0.2">
      <c r="A14" s="88">
        <v>43691</v>
      </c>
      <c r="B14" s="25">
        <v>0</v>
      </c>
      <c r="C14" s="26">
        <v>0</v>
      </c>
    </row>
    <row r="15" spans="1:6" x14ac:dyDescent="0.2">
      <c r="A15" s="88">
        <v>43692</v>
      </c>
      <c r="B15" s="25">
        <v>0</v>
      </c>
      <c r="C15" s="26">
        <v>0</v>
      </c>
    </row>
    <row r="16" spans="1:6" x14ac:dyDescent="0.2">
      <c r="A16" s="88">
        <v>43693</v>
      </c>
      <c r="B16" s="25">
        <v>0</v>
      </c>
      <c r="C16" s="26">
        <v>0</v>
      </c>
    </row>
    <row r="17" spans="1:6" x14ac:dyDescent="0.2">
      <c r="A17" s="88">
        <v>43694</v>
      </c>
      <c r="B17" s="25">
        <v>0</v>
      </c>
      <c r="C17" s="26">
        <v>0</v>
      </c>
    </row>
    <row r="18" spans="1:6" x14ac:dyDescent="0.2">
      <c r="A18" s="88">
        <v>43695</v>
      </c>
      <c r="B18" s="25">
        <v>0</v>
      </c>
      <c r="C18" s="26">
        <v>0</v>
      </c>
      <c r="E18" s="29" t="s">
        <v>148</v>
      </c>
      <c r="F18" s="30">
        <f>SUM(B10:B18)</f>
        <v>0</v>
      </c>
    </row>
    <row r="19" spans="1:6" x14ac:dyDescent="0.2">
      <c r="A19" s="87">
        <v>43696</v>
      </c>
      <c r="B19" s="82">
        <v>211.76470588235293</v>
      </c>
      <c r="C19" s="83">
        <v>1350</v>
      </c>
      <c r="E19" s="29" t="s">
        <v>149</v>
      </c>
      <c r="F19" s="31">
        <f>F18/5</f>
        <v>0</v>
      </c>
    </row>
    <row r="20" spans="1:6" x14ac:dyDescent="0.2">
      <c r="A20" s="87">
        <v>43697</v>
      </c>
      <c r="B20" s="82">
        <v>211.76470588235293</v>
      </c>
      <c r="C20" s="83">
        <v>1350</v>
      </c>
    </row>
    <row r="21" spans="1:6" x14ac:dyDescent="0.2">
      <c r="A21" s="87">
        <v>43698</v>
      </c>
      <c r="B21" s="82">
        <v>211.76470588235293</v>
      </c>
      <c r="C21" s="83">
        <v>1350</v>
      </c>
    </row>
    <row r="22" spans="1:6" x14ac:dyDescent="0.2">
      <c r="A22" s="87">
        <v>43699</v>
      </c>
      <c r="B22" s="82">
        <v>211.76470588235293</v>
      </c>
      <c r="C22" s="83">
        <v>1350</v>
      </c>
    </row>
    <row r="23" spans="1:6" x14ac:dyDescent="0.2">
      <c r="A23" s="87">
        <v>43700</v>
      </c>
      <c r="B23" s="82">
        <v>211.76470588235293</v>
      </c>
      <c r="C23" s="83">
        <v>1350</v>
      </c>
    </row>
    <row r="24" spans="1:6" x14ac:dyDescent="0.2">
      <c r="A24" s="88">
        <v>43701</v>
      </c>
      <c r="B24" s="27">
        <v>0</v>
      </c>
      <c r="C24" s="26">
        <v>0</v>
      </c>
    </row>
    <row r="25" spans="1:6" x14ac:dyDescent="0.2">
      <c r="A25" s="88">
        <v>43702</v>
      </c>
      <c r="B25" s="27">
        <v>0</v>
      </c>
      <c r="C25" s="26">
        <v>0</v>
      </c>
      <c r="E25" s="29" t="s">
        <v>148</v>
      </c>
      <c r="F25" s="30">
        <f>SUM(B19:B23)</f>
        <v>1058.8235294117646</v>
      </c>
    </row>
    <row r="26" spans="1:6" x14ac:dyDescent="0.2">
      <c r="A26" s="87">
        <v>43703</v>
      </c>
      <c r="B26" s="85">
        <v>211.76470588235293</v>
      </c>
      <c r="C26" s="83">
        <v>1350</v>
      </c>
      <c r="E26" s="29" t="s">
        <v>149</v>
      </c>
      <c r="F26" s="31">
        <f>F25/5</f>
        <v>211.76470588235293</v>
      </c>
    </row>
    <row r="27" spans="1:6" x14ac:dyDescent="0.2">
      <c r="A27" s="87">
        <v>43704</v>
      </c>
      <c r="B27" s="85">
        <v>211.76470588235293</v>
      </c>
      <c r="C27" s="83">
        <v>1350</v>
      </c>
    </row>
    <row r="28" spans="1:6" x14ac:dyDescent="0.2">
      <c r="A28" s="87">
        <v>43705</v>
      </c>
      <c r="B28" s="85">
        <v>211.76470588235293</v>
      </c>
      <c r="C28" s="83">
        <v>1350</v>
      </c>
    </row>
    <row r="29" spans="1:6" x14ac:dyDescent="0.2">
      <c r="A29" s="87">
        <v>43706</v>
      </c>
      <c r="B29" s="85">
        <v>211.76470588235293</v>
      </c>
      <c r="C29" s="83">
        <v>1350</v>
      </c>
    </row>
    <row r="30" spans="1:6" x14ac:dyDescent="0.2">
      <c r="A30" s="87">
        <v>43707</v>
      </c>
      <c r="B30" s="85">
        <v>211.76470588235293</v>
      </c>
      <c r="C30" s="83">
        <v>1350</v>
      </c>
      <c r="E30" s="29" t="s">
        <v>148</v>
      </c>
      <c r="F30" s="30">
        <f>SUM(B26:B30)</f>
        <v>1058.8235294117646</v>
      </c>
    </row>
    <row r="31" spans="1:6" x14ac:dyDescent="0.2">
      <c r="A31" s="88">
        <v>43708</v>
      </c>
      <c r="B31" s="27">
        <v>0</v>
      </c>
      <c r="C31" s="26">
        <v>0</v>
      </c>
      <c r="E31" s="29" t="s">
        <v>149</v>
      </c>
      <c r="F31" s="31">
        <f>F30/5</f>
        <v>211.76470588235293</v>
      </c>
    </row>
    <row r="32" spans="1:6" x14ac:dyDescent="0.2">
      <c r="A32" s="89"/>
      <c r="B32" s="89"/>
      <c r="C32" s="89"/>
    </row>
    <row r="33" spans="1:3" x14ac:dyDescent="0.2">
      <c r="A33" s="84">
        <v>43678</v>
      </c>
      <c r="B33" s="86">
        <f>B1</f>
        <v>211.76470588235293</v>
      </c>
      <c r="C33" s="86">
        <f>C1</f>
        <v>1350</v>
      </c>
    </row>
    <row r="34" spans="1:3" x14ac:dyDescent="0.2">
      <c r="A34" s="84">
        <v>43679</v>
      </c>
      <c r="B34" s="86">
        <f t="shared" ref="B34:C49" si="0">B2+B33</f>
        <v>423.52941176470586</v>
      </c>
      <c r="C34" s="86">
        <f>C2+C33</f>
        <v>2700</v>
      </c>
    </row>
    <row r="35" spans="1:3" x14ac:dyDescent="0.2">
      <c r="A35" s="24">
        <v>43680</v>
      </c>
      <c r="B35" s="28">
        <f t="shared" si="0"/>
        <v>423.52941176470586</v>
      </c>
      <c r="C35" s="28">
        <f t="shared" si="0"/>
        <v>2700</v>
      </c>
    </row>
    <row r="36" spans="1:3" x14ac:dyDescent="0.2">
      <c r="A36" s="24">
        <v>43681</v>
      </c>
      <c r="B36" s="28">
        <f t="shared" si="0"/>
        <v>423.52941176470586</v>
      </c>
      <c r="C36" s="28">
        <f t="shared" si="0"/>
        <v>2700</v>
      </c>
    </row>
    <row r="37" spans="1:3" x14ac:dyDescent="0.2">
      <c r="A37" s="84">
        <v>43682</v>
      </c>
      <c r="B37" s="86">
        <f t="shared" si="0"/>
        <v>635.29411764705878</v>
      </c>
      <c r="C37" s="86">
        <f t="shared" si="0"/>
        <v>4050</v>
      </c>
    </row>
    <row r="38" spans="1:3" x14ac:dyDescent="0.2">
      <c r="A38" s="84">
        <v>43683</v>
      </c>
      <c r="B38" s="86">
        <f t="shared" si="0"/>
        <v>847.05882352941171</v>
      </c>
      <c r="C38" s="86">
        <f t="shared" si="0"/>
        <v>5400</v>
      </c>
    </row>
    <row r="39" spans="1:3" x14ac:dyDescent="0.2">
      <c r="A39" s="84">
        <v>43684</v>
      </c>
      <c r="B39" s="86">
        <f t="shared" si="0"/>
        <v>1058.8235294117646</v>
      </c>
      <c r="C39" s="86">
        <f t="shared" si="0"/>
        <v>6750</v>
      </c>
    </row>
    <row r="40" spans="1:3" x14ac:dyDescent="0.2">
      <c r="A40" s="84">
        <v>43685</v>
      </c>
      <c r="B40" s="86">
        <f t="shared" si="0"/>
        <v>1270.5882352941176</v>
      </c>
      <c r="C40" s="86">
        <f t="shared" si="0"/>
        <v>8100</v>
      </c>
    </row>
    <row r="41" spans="1:3" x14ac:dyDescent="0.2">
      <c r="A41" s="84">
        <v>43686</v>
      </c>
      <c r="B41" s="86">
        <f t="shared" si="0"/>
        <v>1482.3529411764705</v>
      </c>
      <c r="C41" s="86">
        <f t="shared" si="0"/>
        <v>9450</v>
      </c>
    </row>
    <row r="42" spans="1:3" x14ac:dyDescent="0.2">
      <c r="A42" s="24">
        <v>43687</v>
      </c>
      <c r="B42" s="28">
        <f t="shared" si="0"/>
        <v>1482.3529411764705</v>
      </c>
      <c r="C42" s="28">
        <f t="shared" si="0"/>
        <v>9450</v>
      </c>
    </row>
    <row r="43" spans="1:3" x14ac:dyDescent="0.2">
      <c r="A43" s="24">
        <v>43688</v>
      </c>
      <c r="B43" s="28">
        <f t="shared" si="0"/>
        <v>1482.3529411764705</v>
      </c>
      <c r="C43" s="28">
        <f t="shared" si="0"/>
        <v>9450</v>
      </c>
    </row>
    <row r="44" spans="1:3" x14ac:dyDescent="0.2">
      <c r="A44" s="84">
        <v>43689</v>
      </c>
      <c r="B44" s="86">
        <f t="shared" si="0"/>
        <v>1482.3529411764705</v>
      </c>
      <c r="C44" s="86">
        <f t="shared" si="0"/>
        <v>9450</v>
      </c>
    </row>
    <row r="45" spans="1:3" x14ac:dyDescent="0.2">
      <c r="A45" s="84">
        <v>43690</v>
      </c>
      <c r="B45" s="86">
        <f t="shared" si="0"/>
        <v>1482.3529411764705</v>
      </c>
      <c r="C45" s="86">
        <f t="shared" si="0"/>
        <v>9450</v>
      </c>
    </row>
    <row r="46" spans="1:3" x14ac:dyDescent="0.2">
      <c r="A46" s="84">
        <v>43691</v>
      </c>
      <c r="B46" s="86">
        <f t="shared" si="0"/>
        <v>1482.3529411764705</v>
      </c>
      <c r="C46" s="86">
        <f t="shared" si="0"/>
        <v>9450</v>
      </c>
    </row>
    <row r="47" spans="1:3" x14ac:dyDescent="0.2">
      <c r="A47" s="84">
        <v>43692</v>
      </c>
      <c r="B47" s="86">
        <f t="shared" si="0"/>
        <v>1482.3529411764705</v>
      </c>
      <c r="C47" s="86">
        <f t="shared" si="0"/>
        <v>9450</v>
      </c>
    </row>
    <row r="48" spans="1:3" x14ac:dyDescent="0.2">
      <c r="A48" s="84">
        <v>43693</v>
      </c>
      <c r="B48" s="86">
        <f t="shared" si="0"/>
        <v>1482.3529411764705</v>
      </c>
      <c r="C48" s="86">
        <f t="shared" si="0"/>
        <v>9450</v>
      </c>
    </row>
    <row r="49" spans="1:4" x14ac:dyDescent="0.2">
      <c r="A49" s="24">
        <v>43694</v>
      </c>
      <c r="B49" s="28">
        <f t="shared" si="0"/>
        <v>1482.3529411764705</v>
      </c>
      <c r="C49" s="28">
        <f t="shared" si="0"/>
        <v>9450</v>
      </c>
    </row>
    <row r="50" spans="1:4" x14ac:dyDescent="0.2">
      <c r="A50" s="24">
        <v>43695</v>
      </c>
      <c r="B50" s="28">
        <f t="shared" ref="B50:C63" si="1">B18+B49</f>
        <v>1482.3529411764705</v>
      </c>
      <c r="C50" s="28">
        <f t="shared" si="1"/>
        <v>9450</v>
      </c>
      <c r="D50" s="81"/>
    </row>
    <row r="51" spans="1:4" x14ac:dyDescent="0.2">
      <c r="A51" s="84">
        <v>43696</v>
      </c>
      <c r="B51" s="86">
        <f t="shared" si="1"/>
        <v>1694.1176470588234</v>
      </c>
      <c r="C51" s="86">
        <f t="shared" si="1"/>
        <v>10800</v>
      </c>
      <c r="D51" s="81">
        <f>B51-C51</f>
        <v>-9105.8823529411766</v>
      </c>
    </row>
    <row r="52" spans="1:4" x14ac:dyDescent="0.2">
      <c r="A52" s="84">
        <v>43697</v>
      </c>
      <c r="B52" s="86">
        <f t="shared" si="1"/>
        <v>1905.8823529411764</v>
      </c>
      <c r="C52" s="86">
        <f t="shared" si="1"/>
        <v>12150</v>
      </c>
    </row>
    <row r="53" spans="1:4" x14ac:dyDescent="0.2">
      <c r="A53" s="84">
        <v>43698</v>
      </c>
      <c r="B53" s="86">
        <f t="shared" si="1"/>
        <v>2117.6470588235293</v>
      </c>
      <c r="C53" s="86">
        <f t="shared" si="1"/>
        <v>13500</v>
      </c>
    </row>
    <row r="54" spans="1:4" x14ac:dyDescent="0.2">
      <c r="A54" s="84">
        <v>43699</v>
      </c>
      <c r="B54" s="86">
        <f t="shared" si="1"/>
        <v>2329.411764705882</v>
      </c>
      <c r="C54" s="86">
        <f t="shared" si="1"/>
        <v>14850</v>
      </c>
    </row>
    <row r="55" spans="1:4" x14ac:dyDescent="0.2">
      <c r="A55" s="84">
        <v>43700</v>
      </c>
      <c r="B55" s="86">
        <f t="shared" si="1"/>
        <v>2541.1764705882351</v>
      </c>
      <c r="C55" s="86">
        <f t="shared" si="1"/>
        <v>16200</v>
      </c>
    </row>
    <row r="56" spans="1:4" x14ac:dyDescent="0.2">
      <c r="A56" s="24">
        <v>43701</v>
      </c>
      <c r="B56" s="28">
        <f t="shared" si="1"/>
        <v>2541.1764705882351</v>
      </c>
      <c r="C56" s="28">
        <f t="shared" si="1"/>
        <v>16200</v>
      </c>
    </row>
    <row r="57" spans="1:4" x14ac:dyDescent="0.2">
      <c r="A57" s="24">
        <v>43702</v>
      </c>
      <c r="B57" s="28">
        <f t="shared" si="1"/>
        <v>2541.1764705882351</v>
      </c>
      <c r="C57" s="28">
        <f t="shared" si="1"/>
        <v>16200</v>
      </c>
    </row>
    <row r="58" spans="1:4" x14ac:dyDescent="0.2">
      <c r="A58" s="84">
        <v>43703</v>
      </c>
      <c r="B58" s="86">
        <f t="shared" si="1"/>
        <v>2752.9411764705883</v>
      </c>
      <c r="C58" s="86">
        <f t="shared" si="1"/>
        <v>17550</v>
      </c>
    </row>
    <row r="59" spans="1:4" x14ac:dyDescent="0.2">
      <c r="A59" s="84">
        <v>43704</v>
      </c>
      <c r="B59" s="86">
        <f t="shared" si="1"/>
        <v>2964.7058823529414</v>
      </c>
      <c r="C59" s="86">
        <f t="shared" si="1"/>
        <v>18900</v>
      </c>
    </row>
    <row r="60" spans="1:4" x14ac:dyDescent="0.2">
      <c r="A60" s="84">
        <v>43705</v>
      </c>
      <c r="B60" s="86">
        <f t="shared" si="1"/>
        <v>3176.4705882352946</v>
      </c>
      <c r="C60" s="86">
        <f>C28+C59</f>
        <v>20250</v>
      </c>
    </row>
    <row r="61" spans="1:4" x14ac:dyDescent="0.2">
      <c r="A61" s="84">
        <v>43706</v>
      </c>
      <c r="B61" s="86">
        <f t="shared" si="1"/>
        <v>3388.2352941176478</v>
      </c>
      <c r="C61" s="86">
        <f t="shared" si="1"/>
        <v>21600</v>
      </c>
    </row>
    <row r="62" spans="1:4" x14ac:dyDescent="0.2">
      <c r="A62" s="84">
        <v>43707</v>
      </c>
      <c r="B62" s="86">
        <f t="shared" si="1"/>
        <v>3600.0000000000009</v>
      </c>
      <c r="C62" s="86">
        <f t="shared" si="1"/>
        <v>22950</v>
      </c>
    </row>
    <row r="63" spans="1:4" x14ac:dyDescent="0.2">
      <c r="A63" s="24">
        <v>43708</v>
      </c>
      <c r="B63" s="28">
        <f t="shared" si="1"/>
        <v>3600.0000000000009</v>
      </c>
      <c r="C63" s="28">
        <f t="shared" si="1"/>
        <v>22950</v>
      </c>
      <c r="D63" s="81">
        <f>B63-C63</f>
        <v>-19350</v>
      </c>
    </row>
    <row r="66" spans="1:32" x14ac:dyDescent="0.2">
      <c r="Z66" s="89"/>
      <c r="AA66" s="89"/>
      <c r="AB66" s="89"/>
      <c r="AC66" s="89"/>
      <c r="AD66" s="89"/>
      <c r="AE66" s="89"/>
      <c r="AF66" s="89"/>
    </row>
    <row r="67" spans="1:32" ht="15" thickBot="1" x14ac:dyDescent="0.25">
      <c r="A67" s="89"/>
      <c r="B67" s="89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90"/>
      <c r="AA67" s="90"/>
      <c r="AB67" s="90"/>
      <c r="AC67" s="90"/>
      <c r="AD67" s="90"/>
      <c r="AE67" s="90"/>
      <c r="AF67" s="90"/>
    </row>
    <row r="68" spans="1:32" ht="15" thickBot="1" x14ac:dyDescent="0.25">
      <c r="A68" s="89"/>
      <c r="B68" s="127" t="s">
        <v>25</v>
      </c>
      <c r="C68" s="128"/>
      <c r="D68" s="129" t="s">
        <v>28</v>
      </c>
      <c r="E68" s="130"/>
      <c r="F68" s="127" t="s">
        <v>29</v>
      </c>
      <c r="G68" s="128"/>
      <c r="H68" s="129" t="s">
        <v>67</v>
      </c>
      <c r="I68" s="130"/>
      <c r="J68" s="127" t="s">
        <v>31</v>
      </c>
      <c r="K68" s="128"/>
      <c r="L68" s="129" t="s">
        <v>112</v>
      </c>
      <c r="M68" s="130"/>
      <c r="N68" s="127" t="s">
        <v>110</v>
      </c>
      <c r="O68" s="128"/>
      <c r="P68" s="129" t="s">
        <v>106</v>
      </c>
      <c r="Q68" s="130"/>
      <c r="R68" s="127" t="s">
        <v>167</v>
      </c>
      <c r="S68" s="128"/>
      <c r="T68" s="129" t="s">
        <v>27</v>
      </c>
      <c r="U68" s="130"/>
      <c r="V68" s="127" t="s">
        <v>26</v>
      </c>
      <c r="W68" s="128"/>
      <c r="X68" s="127" t="s">
        <v>66</v>
      </c>
      <c r="Y68" s="128"/>
      <c r="Z68" s="90"/>
      <c r="AA68" s="90"/>
      <c r="AB68" s="90"/>
      <c r="AC68" s="90"/>
      <c r="AD68" s="90"/>
      <c r="AE68" s="90"/>
      <c r="AF68" s="90"/>
    </row>
    <row r="69" spans="1:32" x14ac:dyDescent="0.2">
      <c r="A69" s="89"/>
      <c r="B69" s="60" t="s">
        <v>144</v>
      </c>
      <c r="C69" s="73" t="s">
        <v>24</v>
      </c>
      <c r="D69" s="74" t="s">
        <v>144</v>
      </c>
      <c r="E69" s="75" t="s">
        <v>24</v>
      </c>
      <c r="F69" s="60" t="s">
        <v>144</v>
      </c>
      <c r="G69" s="73" t="s">
        <v>24</v>
      </c>
      <c r="H69" s="74" t="s">
        <v>144</v>
      </c>
      <c r="I69" s="75" t="s">
        <v>24</v>
      </c>
      <c r="J69" s="60" t="s">
        <v>144</v>
      </c>
      <c r="K69" s="73" t="s">
        <v>24</v>
      </c>
      <c r="L69" s="74" t="s">
        <v>144</v>
      </c>
      <c r="M69" s="75" t="s">
        <v>24</v>
      </c>
      <c r="N69" s="60" t="s">
        <v>144</v>
      </c>
      <c r="O69" s="73" t="s">
        <v>24</v>
      </c>
      <c r="P69" s="74" t="s">
        <v>144</v>
      </c>
      <c r="Q69" s="75" t="s">
        <v>24</v>
      </c>
      <c r="R69" s="60" t="s">
        <v>144</v>
      </c>
      <c r="S69" s="73" t="s">
        <v>24</v>
      </c>
      <c r="T69" s="74" t="s">
        <v>144</v>
      </c>
      <c r="U69" s="75" t="s">
        <v>24</v>
      </c>
      <c r="V69" s="60" t="s">
        <v>144</v>
      </c>
      <c r="W69" s="73" t="s">
        <v>24</v>
      </c>
      <c r="X69" s="60" t="s">
        <v>144</v>
      </c>
      <c r="Y69" s="73" t="s">
        <v>24</v>
      </c>
      <c r="Z69" s="90"/>
      <c r="AA69" s="59" t="s">
        <v>144</v>
      </c>
      <c r="AB69" s="68" t="s">
        <v>24</v>
      </c>
      <c r="AC69" s="63" t="s">
        <v>152</v>
      </c>
      <c r="AD69" s="90"/>
      <c r="AE69" s="90"/>
      <c r="AF69" s="90"/>
    </row>
    <row r="70" spans="1:32" x14ac:dyDescent="0.2">
      <c r="A70" s="84">
        <v>43678</v>
      </c>
      <c r="B70" s="60"/>
      <c r="C70" s="73"/>
      <c r="D70" s="74"/>
      <c r="E70" s="73"/>
      <c r="F70" s="60"/>
      <c r="G70" s="73"/>
      <c r="H70" s="74"/>
      <c r="I70" s="75"/>
      <c r="J70" s="60"/>
      <c r="K70" s="73"/>
      <c r="L70" s="74"/>
      <c r="M70" s="75"/>
      <c r="N70" s="60"/>
      <c r="O70" s="73"/>
      <c r="P70" s="74"/>
      <c r="Q70" s="75"/>
      <c r="R70" s="60"/>
      <c r="S70" s="73"/>
      <c r="T70" s="74"/>
      <c r="U70" s="75"/>
      <c r="V70" s="60"/>
      <c r="W70" s="73"/>
      <c r="X70" s="60"/>
      <c r="Y70" s="73"/>
      <c r="Z70" s="90"/>
      <c r="AA70" s="57">
        <f>B70+D70+F70+H70+J70+L70+N70+P70+R70+T70+V70+X70</f>
        <v>0</v>
      </c>
      <c r="AB70" s="95">
        <f>C70+E70+G70+I70+K70+M70+O70+Q70+S70+U70+W70+Y70</f>
        <v>0</v>
      </c>
      <c r="AC70" s="64">
        <f>AA70+AB70</f>
        <v>0</v>
      </c>
      <c r="AD70" s="90"/>
      <c r="AE70" s="90"/>
      <c r="AF70" s="90"/>
    </row>
    <row r="71" spans="1:32" x14ac:dyDescent="0.2">
      <c r="A71" s="84">
        <v>43679</v>
      </c>
      <c r="B71" s="60"/>
      <c r="C71" s="73"/>
      <c r="D71" s="74"/>
      <c r="E71" s="73"/>
      <c r="F71" s="60"/>
      <c r="G71" s="73"/>
      <c r="H71" s="74"/>
      <c r="I71" s="75"/>
      <c r="J71" s="60"/>
      <c r="K71" s="73"/>
      <c r="L71" s="74"/>
      <c r="M71" s="75"/>
      <c r="N71" s="60"/>
      <c r="O71" s="73"/>
      <c r="P71" s="74"/>
      <c r="Q71" s="75"/>
      <c r="R71" s="60"/>
      <c r="S71" s="73"/>
      <c r="T71" s="74"/>
      <c r="U71" s="75"/>
      <c r="V71" s="60"/>
      <c r="W71" s="73"/>
      <c r="X71" s="60"/>
      <c r="Y71" s="73"/>
      <c r="Z71" s="90"/>
      <c r="AA71" s="57">
        <f t="shared" ref="AA71:AB98" si="2">B71+D71+F71+H71+J71+L71+N71+P71+R71+T71+V71+X71</f>
        <v>0</v>
      </c>
      <c r="AB71" s="95">
        <f t="shared" si="2"/>
        <v>0</v>
      </c>
      <c r="AC71" s="71">
        <f t="shared" ref="AC71:AC98" si="3">AA71+AB71</f>
        <v>0</v>
      </c>
      <c r="AD71" s="72">
        <f>SUM(AC70:AC71)</f>
        <v>0</v>
      </c>
      <c r="AE71" s="90"/>
      <c r="AF71" s="90"/>
    </row>
    <row r="72" spans="1:32" x14ac:dyDescent="0.2">
      <c r="A72" s="24">
        <v>43680</v>
      </c>
      <c r="B72" s="76"/>
      <c r="C72" s="77"/>
      <c r="D72" s="78"/>
      <c r="E72" s="77"/>
      <c r="F72" s="76"/>
      <c r="G72" s="77"/>
      <c r="H72" s="78"/>
      <c r="I72" s="4"/>
      <c r="J72" s="76"/>
      <c r="K72" s="77"/>
      <c r="L72" s="78"/>
      <c r="M72" s="4"/>
      <c r="N72" s="76"/>
      <c r="O72" s="77"/>
      <c r="P72" s="78"/>
      <c r="Q72" s="4"/>
      <c r="R72" s="76"/>
      <c r="S72" s="77"/>
      <c r="T72" s="78"/>
      <c r="U72" s="4"/>
      <c r="V72" s="76"/>
      <c r="W72" s="77"/>
      <c r="X72" s="76"/>
      <c r="Y72" s="77"/>
      <c r="Z72" s="90"/>
      <c r="AA72" s="34">
        <f t="shared" si="2"/>
        <v>0</v>
      </c>
      <c r="AB72" s="33">
        <f t="shared" si="2"/>
        <v>0</v>
      </c>
      <c r="AC72" s="51">
        <f t="shared" si="3"/>
        <v>0</v>
      </c>
      <c r="AD72" s="90"/>
      <c r="AE72" s="90"/>
      <c r="AF72" s="90"/>
    </row>
    <row r="73" spans="1:32" x14ac:dyDescent="0.2">
      <c r="A73" s="24">
        <v>43681</v>
      </c>
      <c r="B73" s="76"/>
      <c r="C73" s="77"/>
      <c r="D73" s="78"/>
      <c r="E73" s="77"/>
      <c r="F73" s="76"/>
      <c r="G73" s="77"/>
      <c r="H73" s="78"/>
      <c r="I73" s="4"/>
      <c r="J73" s="76"/>
      <c r="K73" s="77"/>
      <c r="L73" s="78"/>
      <c r="M73" s="4"/>
      <c r="N73" s="76"/>
      <c r="O73" s="77"/>
      <c r="P73" s="78"/>
      <c r="Q73" s="4"/>
      <c r="R73" s="76"/>
      <c r="S73" s="77"/>
      <c r="T73" s="78"/>
      <c r="U73" s="4"/>
      <c r="V73" s="76"/>
      <c r="W73" s="77"/>
      <c r="X73" s="76"/>
      <c r="Y73" s="77"/>
      <c r="Z73" s="90"/>
      <c r="AA73" s="34">
        <f t="shared" si="2"/>
        <v>0</v>
      </c>
      <c r="AB73" s="33">
        <f t="shared" si="2"/>
        <v>0</v>
      </c>
      <c r="AC73" s="51">
        <f t="shared" si="3"/>
        <v>0</v>
      </c>
      <c r="AD73" s="90"/>
      <c r="AE73" s="90"/>
      <c r="AF73" s="90"/>
    </row>
    <row r="74" spans="1:32" x14ac:dyDescent="0.2">
      <c r="A74" s="84">
        <v>43682</v>
      </c>
      <c r="B74" s="60"/>
      <c r="C74" s="73"/>
      <c r="D74" s="74"/>
      <c r="E74" s="73"/>
      <c r="F74" s="60"/>
      <c r="G74" s="73"/>
      <c r="H74" s="74"/>
      <c r="I74" s="75"/>
      <c r="J74" s="60"/>
      <c r="K74" s="73"/>
      <c r="L74" s="74"/>
      <c r="M74" s="75"/>
      <c r="N74" s="60"/>
      <c r="O74" s="73"/>
      <c r="P74" s="74"/>
      <c r="Q74" s="75"/>
      <c r="R74" s="60"/>
      <c r="S74" s="73"/>
      <c r="T74" s="74"/>
      <c r="U74" s="75"/>
      <c r="V74" s="60"/>
      <c r="W74" s="73"/>
      <c r="X74" s="60"/>
      <c r="Y74" s="73"/>
      <c r="Z74" s="90"/>
      <c r="AA74" s="57">
        <f t="shared" si="2"/>
        <v>0</v>
      </c>
      <c r="AB74" s="95">
        <f t="shared" si="2"/>
        <v>0</v>
      </c>
      <c r="AC74" s="64">
        <f t="shared" si="3"/>
        <v>0</v>
      </c>
      <c r="AE74" s="90"/>
      <c r="AF74" s="90"/>
    </row>
    <row r="75" spans="1:32" x14ac:dyDescent="0.2">
      <c r="A75" s="84">
        <v>43683</v>
      </c>
      <c r="B75" s="60"/>
      <c r="C75" s="73"/>
      <c r="D75" s="74"/>
      <c r="E75" s="73"/>
      <c r="F75" s="60"/>
      <c r="G75" s="73"/>
      <c r="H75" s="74"/>
      <c r="I75" s="75"/>
      <c r="J75" s="60"/>
      <c r="K75" s="73"/>
      <c r="L75" s="74"/>
      <c r="M75" s="75"/>
      <c r="N75" s="60"/>
      <c r="O75" s="73"/>
      <c r="P75" s="74"/>
      <c r="Q75" s="75"/>
      <c r="R75" s="60"/>
      <c r="S75" s="73"/>
      <c r="T75" s="74"/>
      <c r="U75" s="75"/>
      <c r="V75" s="60"/>
      <c r="W75" s="73"/>
      <c r="X75" s="60"/>
      <c r="Y75" s="73"/>
      <c r="Z75" s="90"/>
      <c r="AA75" s="57">
        <f t="shared" si="2"/>
        <v>0</v>
      </c>
      <c r="AB75" s="95">
        <f t="shared" si="2"/>
        <v>0</v>
      </c>
      <c r="AC75" s="64">
        <f t="shared" si="3"/>
        <v>0</v>
      </c>
      <c r="AD75" s="90"/>
      <c r="AE75" s="90"/>
      <c r="AF75" s="90"/>
    </row>
    <row r="76" spans="1:32" x14ac:dyDescent="0.2">
      <c r="A76" s="84">
        <v>43684</v>
      </c>
      <c r="B76" s="60"/>
      <c r="C76" s="73"/>
      <c r="D76" s="74"/>
      <c r="E76" s="73"/>
      <c r="F76" s="60"/>
      <c r="G76" s="73"/>
      <c r="H76" s="74"/>
      <c r="I76" s="75"/>
      <c r="J76" s="60"/>
      <c r="K76" s="73"/>
      <c r="L76" s="74"/>
      <c r="M76" s="75"/>
      <c r="N76" s="60"/>
      <c r="O76" s="73"/>
      <c r="P76" s="74"/>
      <c r="Q76" s="75"/>
      <c r="R76" s="60"/>
      <c r="S76" s="73"/>
      <c r="T76" s="74"/>
      <c r="U76" s="75"/>
      <c r="V76" s="60"/>
      <c r="W76" s="73"/>
      <c r="X76" s="60"/>
      <c r="Y76" s="73"/>
      <c r="Z76" s="90"/>
      <c r="AA76" s="57">
        <f t="shared" si="2"/>
        <v>0</v>
      </c>
      <c r="AB76" s="95">
        <f t="shared" si="2"/>
        <v>0</v>
      </c>
      <c r="AC76" s="64">
        <f t="shared" si="3"/>
        <v>0</v>
      </c>
      <c r="AD76" s="90"/>
      <c r="AE76" s="90"/>
      <c r="AF76" s="90"/>
    </row>
    <row r="77" spans="1:32" x14ac:dyDescent="0.2">
      <c r="A77" s="84">
        <v>43685</v>
      </c>
      <c r="B77" s="60"/>
      <c r="C77" s="73"/>
      <c r="D77" s="74"/>
      <c r="E77" s="73"/>
      <c r="F77" s="60"/>
      <c r="G77" s="73"/>
      <c r="H77" s="74"/>
      <c r="I77" s="75"/>
      <c r="J77" s="60"/>
      <c r="K77" s="73"/>
      <c r="L77" s="74"/>
      <c r="M77" s="75"/>
      <c r="N77" s="60"/>
      <c r="O77" s="73"/>
      <c r="P77" s="74"/>
      <c r="Q77" s="75"/>
      <c r="R77" s="60"/>
      <c r="S77" s="73"/>
      <c r="T77" s="74"/>
      <c r="U77" s="75"/>
      <c r="V77" s="60"/>
      <c r="W77" s="73"/>
      <c r="X77" s="60"/>
      <c r="Y77" s="73"/>
      <c r="Z77" s="90"/>
      <c r="AA77" s="57">
        <f t="shared" si="2"/>
        <v>0</v>
      </c>
      <c r="AB77" s="95">
        <f t="shared" si="2"/>
        <v>0</v>
      </c>
      <c r="AC77" s="64">
        <f t="shared" si="3"/>
        <v>0</v>
      </c>
      <c r="AD77" s="90"/>
      <c r="AE77" s="90"/>
      <c r="AF77" s="90"/>
    </row>
    <row r="78" spans="1:32" x14ac:dyDescent="0.2">
      <c r="A78" s="84">
        <v>43686</v>
      </c>
      <c r="B78" s="60"/>
      <c r="C78" s="73"/>
      <c r="D78" s="74"/>
      <c r="E78" s="73"/>
      <c r="F78" s="60"/>
      <c r="G78" s="73"/>
      <c r="H78" s="74"/>
      <c r="I78" s="75"/>
      <c r="J78" s="60"/>
      <c r="K78" s="73"/>
      <c r="L78" s="74"/>
      <c r="M78" s="75"/>
      <c r="N78" s="60"/>
      <c r="O78" s="73"/>
      <c r="P78" s="74"/>
      <c r="Q78" s="75"/>
      <c r="R78" s="60"/>
      <c r="S78" s="73"/>
      <c r="T78" s="74"/>
      <c r="U78" s="75"/>
      <c r="V78" s="60"/>
      <c r="W78" s="73"/>
      <c r="X78" s="60"/>
      <c r="Y78" s="73"/>
      <c r="Z78" s="90"/>
      <c r="AA78" s="57">
        <f t="shared" si="2"/>
        <v>0</v>
      </c>
      <c r="AB78" s="95">
        <f t="shared" si="2"/>
        <v>0</v>
      </c>
      <c r="AC78" s="71">
        <f t="shared" si="3"/>
        <v>0</v>
      </c>
      <c r="AD78" s="72">
        <f>SUM(AC74:AC78)</f>
        <v>0</v>
      </c>
      <c r="AE78" s="90"/>
      <c r="AF78" s="90"/>
    </row>
    <row r="79" spans="1:32" x14ac:dyDescent="0.2">
      <c r="A79" s="24">
        <v>43687</v>
      </c>
      <c r="B79" s="76"/>
      <c r="C79" s="77"/>
      <c r="D79" s="4"/>
      <c r="E79" s="77"/>
      <c r="F79" s="76"/>
      <c r="G79" s="77"/>
      <c r="H79" s="78"/>
      <c r="I79" s="4"/>
      <c r="J79" s="76"/>
      <c r="K79" s="77"/>
      <c r="L79" s="78"/>
      <c r="M79" s="4"/>
      <c r="N79" s="76"/>
      <c r="O79" s="77"/>
      <c r="P79" s="78"/>
      <c r="Q79" s="4"/>
      <c r="R79" s="76"/>
      <c r="S79" s="77"/>
      <c r="T79" s="78"/>
      <c r="U79" s="4"/>
      <c r="V79" s="76"/>
      <c r="W79" s="77"/>
      <c r="X79" s="76"/>
      <c r="Y79" s="77"/>
      <c r="Z79" s="90"/>
      <c r="AA79" s="34">
        <f t="shared" si="2"/>
        <v>0</v>
      </c>
      <c r="AB79" s="33">
        <f t="shared" si="2"/>
        <v>0</v>
      </c>
      <c r="AC79" s="51">
        <f t="shared" si="3"/>
        <v>0</v>
      </c>
      <c r="AD79" s="90"/>
      <c r="AE79" s="90"/>
      <c r="AF79" s="90"/>
    </row>
    <row r="80" spans="1:32" x14ac:dyDescent="0.2">
      <c r="A80" s="24">
        <v>43688</v>
      </c>
      <c r="B80" s="76"/>
      <c r="C80" s="77"/>
      <c r="D80" s="4"/>
      <c r="E80" s="77"/>
      <c r="F80" s="76"/>
      <c r="G80" s="77"/>
      <c r="H80" s="78"/>
      <c r="I80" s="4"/>
      <c r="J80" s="76"/>
      <c r="K80" s="77"/>
      <c r="L80" s="78"/>
      <c r="M80" s="4"/>
      <c r="N80" s="76"/>
      <c r="O80" s="77"/>
      <c r="P80" s="78"/>
      <c r="Q80" s="4"/>
      <c r="R80" s="76"/>
      <c r="S80" s="77"/>
      <c r="T80" s="78"/>
      <c r="U80" s="4"/>
      <c r="V80" s="76"/>
      <c r="W80" s="77"/>
      <c r="X80" s="76"/>
      <c r="Y80" s="77"/>
      <c r="Z80" s="90"/>
      <c r="AA80" s="34">
        <f t="shared" si="2"/>
        <v>0</v>
      </c>
      <c r="AB80" s="33">
        <f t="shared" si="2"/>
        <v>0</v>
      </c>
      <c r="AC80" s="51">
        <f t="shared" si="3"/>
        <v>0</v>
      </c>
      <c r="AD80" s="90"/>
      <c r="AE80" s="90"/>
      <c r="AF80" s="90"/>
    </row>
    <row r="81" spans="1:32" x14ac:dyDescent="0.2">
      <c r="A81" s="24">
        <v>43689</v>
      </c>
      <c r="B81" s="60"/>
      <c r="C81" s="73"/>
      <c r="D81" s="74"/>
      <c r="E81" s="73"/>
      <c r="F81" s="60"/>
      <c r="G81" s="73"/>
      <c r="H81" s="74"/>
      <c r="I81" s="75"/>
      <c r="J81" s="60"/>
      <c r="K81" s="73"/>
      <c r="L81" s="74"/>
      <c r="M81" s="75"/>
      <c r="N81" s="60"/>
      <c r="O81" s="73"/>
      <c r="P81" s="74"/>
      <c r="Q81" s="75"/>
      <c r="R81" s="60"/>
      <c r="S81" s="73"/>
      <c r="T81" s="74"/>
      <c r="U81" s="75"/>
      <c r="V81" s="60"/>
      <c r="W81" s="73"/>
      <c r="X81" s="60"/>
      <c r="Y81" s="73"/>
      <c r="Z81" s="90"/>
      <c r="AA81" s="57">
        <f t="shared" si="2"/>
        <v>0</v>
      </c>
      <c r="AB81" s="95">
        <f t="shared" si="2"/>
        <v>0</v>
      </c>
      <c r="AC81" s="64">
        <f t="shared" si="3"/>
        <v>0</v>
      </c>
      <c r="AE81" s="90"/>
      <c r="AF81" s="90"/>
    </row>
    <row r="82" spans="1:32" x14ac:dyDescent="0.2">
      <c r="A82" s="24">
        <v>43690</v>
      </c>
      <c r="B82" s="60"/>
      <c r="C82" s="73"/>
      <c r="D82" s="74"/>
      <c r="E82" s="73"/>
      <c r="F82" s="60"/>
      <c r="G82" s="73"/>
      <c r="H82" s="74"/>
      <c r="I82" s="75"/>
      <c r="J82" s="60"/>
      <c r="K82" s="73"/>
      <c r="L82" s="74"/>
      <c r="M82" s="75"/>
      <c r="N82" s="60"/>
      <c r="O82" s="73"/>
      <c r="P82" s="74"/>
      <c r="Q82" s="75"/>
      <c r="R82" s="60"/>
      <c r="S82" s="73"/>
      <c r="T82" s="74"/>
      <c r="U82" s="75"/>
      <c r="V82" s="60"/>
      <c r="W82" s="73"/>
      <c r="X82" s="60"/>
      <c r="Y82" s="73"/>
      <c r="Z82" s="90"/>
      <c r="AA82" s="57">
        <f t="shared" si="2"/>
        <v>0</v>
      </c>
      <c r="AB82" s="95">
        <f t="shared" si="2"/>
        <v>0</v>
      </c>
      <c r="AC82" s="64">
        <f t="shared" si="3"/>
        <v>0</v>
      </c>
      <c r="AD82" s="90"/>
      <c r="AE82" s="90"/>
      <c r="AF82" s="90"/>
    </row>
    <row r="83" spans="1:32" x14ac:dyDescent="0.2">
      <c r="A83" s="24">
        <v>43691</v>
      </c>
      <c r="B83" s="60"/>
      <c r="C83" s="73"/>
      <c r="D83" s="74"/>
      <c r="E83" s="73"/>
      <c r="F83" s="60"/>
      <c r="G83" s="73"/>
      <c r="H83" s="74"/>
      <c r="I83" s="75"/>
      <c r="J83" s="60"/>
      <c r="K83" s="73"/>
      <c r="L83" s="74"/>
      <c r="M83" s="75"/>
      <c r="N83" s="60"/>
      <c r="O83" s="73"/>
      <c r="P83" s="74"/>
      <c r="Q83" s="75"/>
      <c r="R83" s="60"/>
      <c r="S83" s="73"/>
      <c r="T83" s="74"/>
      <c r="U83" s="75"/>
      <c r="V83" s="60"/>
      <c r="W83" s="73"/>
      <c r="X83" s="60"/>
      <c r="Y83" s="73"/>
      <c r="Z83" s="90"/>
      <c r="AA83" s="57">
        <f t="shared" si="2"/>
        <v>0</v>
      </c>
      <c r="AB83" s="95">
        <f t="shared" si="2"/>
        <v>0</v>
      </c>
      <c r="AC83" s="64">
        <f t="shared" si="3"/>
        <v>0</v>
      </c>
      <c r="AD83" s="90"/>
      <c r="AE83" s="90"/>
      <c r="AF83" s="90"/>
    </row>
    <row r="84" spans="1:32" ht="15" thickBot="1" x14ac:dyDescent="0.25">
      <c r="A84" s="24">
        <v>43692</v>
      </c>
      <c r="B84" s="60"/>
      <c r="C84" s="73"/>
      <c r="D84" s="74"/>
      <c r="E84" s="73"/>
      <c r="F84" s="60"/>
      <c r="G84" s="73"/>
      <c r="H84" s="74"/>
      <c r="I84" s="75"/>
      <c r="J84" s="60"/>
      <c r="K84" s="73"/>
      <c r="L84" s="74"/>
      <c r="M84" s="75"/>
      <c r="N84" s="60"/>
      <c r="O84" s="73"/>
      <c r="P84" s="74"/>
      <c r="Q84" s="75"/>
      <c r="R84" s="60"/>
      <c r="S84" s="73"/>
      <c r="T84" s="74"/>
      <c r="U84" s="75"/>
      <c r="V84" s="60"/>
      <c r="W84" s="73"/>
      <c r="X84" s="60"/>
      <c r="Y84" s="73"/>
      <c r="Z84" s="90"/>
      <c r="AA84" s="57">
        <f t="shared" si="2"/>
        <v>0</v>
      </c>
      <c r="AB84" s="117">
        <f t="shared" si="2"/>
        <v>0</v>
      </c>
      <c r="AC84" s="64">
        <f t="shared" si="3"/>
        <v>0</v>
      </c>
      <c r="AD84" s="90"/>
      <c r="AE84" s="90"/>
      <c r="AF84" s="90"/>
    </row>
    <row r="85" spans="1:32" ht="15" thickBot="1" x14ac:dyDescent="0.25">
      <c r="A85" s="24">
        <v>43693</v>
      </c>
      <c r="B85" s="60"/>
      <c r="C85" s="73"/>
      <c r="D85" s="74"/>
      <c r="E85" s="73"/>
      <c r="F85" s="60"/>
      <c r="G85" s="73"/>
      <c r="H85" s="74"/>
      <c r="I85" s="75"/>
      <c r="J85" s="60"/>
      <c r="K85" s="73"/>
      <c r="L85" s="74"/>
      <c r="M85" s="75"/>
      <c r="N85" s="60"/>
      <c r="O85" s="73"/>
      <c r="P85" s="74"/>
      <c r="Q85" s="75"/>
      <c r="R85" s="60"/>
      <c r="S85" s="73"/>
      <c r="T85" s="74"/>
      <c r="U85" s="75"/>
      <c r="V85" s="60"/>
      <c r="W85" s="73"/>
      <c r="X85" s="60"/>
      <c r="Y85" s="73"/>
      <c r="Z85" s="90"/>
      <c r="AA85" s="116">
        <f t="shared" si="2"/>
        <v>0</v>
      </c>
      <c r="AB85" s="118">
        <f t="shared" si="2"/>
        <v>0</v>
      </c>
      <c r="AC85" s="119">
        <f t="shared" si="3"/>
        <v>0</v>
      </c>
      <c r="AD85" s="72">
        <v>0</v>
      </c>
      <c r="AE85" s="90"/>
      <c r="AF85" s="90"/>
    </row>
    <row r="86" spans="1:32" x14ac:dyDescent="0.2">
      <c r="A86" s="24">
        <v>43694</v>
      </c>
      <c r="B86" s="76"/>
      <c r="C86" s="77"/>
      <c r="D86" s="78"/>
      <c r="E86" s="77"/>
      <c r="F86" s="76"/>
      <c r="G86" s="77"/>
      <c r="H86" s="78"/>
      <c r="I86" s="4"/>
      <c r="J86" s="76"/>
      <c r="K86" s="77"/>
      <c r="L86" s="78"/>
      <c r="M86" s="4"/>
      <c r="N86" s="76"/>
      <c r="O86" s="77"/>
      <c r="P86" s="78"/>
      <c r="Q86" s="4"/>
      <c r="R86" s="76"/>
      <c r="S86" s="77"/>
      <c r="T86" s="78"/>
      <c r="U86" s="4"/>
      <c r="V86" s="76"/>
      <c r="W86" s="77"/>
      <c r="X86" s="76"/>
      <c r="Y86" s="77"/>
      <c r="Z86" s="90"/>
      <c r="AA86" s="34">
        <f t="shared" si="2"/>
        <v>0</v>
      </c>
      <c r="AB86" s="101">
        <f t="shared" si="2"/>
        <v>0</v>
      </c>
      <c r="AC86" s="51">
        <f t="shared" si="3"/>
        <v>0</v>
      </c>
      <c r="AD86" s="90"/>
      <c r="AE86" s="90"/>
      <c r="AF86" s="90"/>
    </row>
    <row r="87" spans="1:32" x14ac:dyDescent="0.2">
      <c r="A87" s="24">
        <v>43695</v>
      </c>
      <c r="B87" s="76"/>
      <c r="C87" s="77"/>
      <c r="D87" s="78"/>
      <c r="E87" s="77"/>
      <c r="F87" s="76"/>
      <c r="G87" s="77"/>
      <c r="H87" s="78"/>
      <c r="I87" s="4"/>
      <c r="J87" s="76"/>
      <c r="K87" s="77"/>
      <c r="L87" s="78"/>
      <c r="M87" s="4"/>
      <c r="N87" s="76"/>
      <c r="O87" s="77"/>
      <c r="P87" s="78"/>
      <c r="Q87" s="4"/>
      <c r="R87" s="76"/>
      <c r="S87" s="77"/>
      <c r="T87" s="78"/>
      <c r="U87" s="4"/>
      <c r="V87" s="76"/>
      <c r="W87" s="77"/>
      <c r="X87" s="76"/>
      <c r="Y87" s="77"/>
      <c r="Z87" s="90"/>
      <c r="AA87" s="34">
        <f t="shared" si="2"/>
        <v>0</v>
      </c>
      <c r="AB87" s="33">
        <f t="shared" si="2"/>
        <v>0</v>
      </c>
      <c r="AC87" s="51">
        <f t="shared" si="3"/>
        <v>0</v>
      </c>
      <c r="AD87" s="90"/>
      <c r="AE87" s="90"/>
      <c r="AF87" s="90"/>
    </row>
    <row r="88" spans="1:32" x14ac:dyDescent="0.2">
      <c r="A88" s="84">
        <v>43696</v>
      </c>
      <c r="B88" s="60"/>
      <c r="C88" s="73"/>
      <c r="D88" s="74"/>
      <c r="E88" s="73"/>
      <c r="F88" s="60"/>
      <c r="G88" s="73"/>
      <c r="H88" s="74"/>
      <c r="I88" s="75"/>
      <c r="J88" s="60"/>
      <c r="K88" s="73"/>
      <c r="L88" s="74"/>
      <c r="M88" s="75"/>
      <c r="N88" s="60"/>
      <c r="O88" s="73"/>
      <c r="P88" s="74"/>
      <c r="Q88" s="75"/>
      <c r="R88" s="60"/>
      <c r="S88" s="73"/>
      <c r="T88" s="74"/>
      <c r="U88" s="75"/>
      <c r="V88" s="60"/>
      <c r="W88" s="73"/>
      <c r="X88" s="60"/>
      <c r="Y88" s="73"/>
      <c r="Z88" s="90"/>
      <c r="AA88" s="57">
        <f t="shared" si="2"/>
        <v>0</v>
      </c>
      <c r="AB88" s="95">
        <f t="shared" si="2"/>
        <v>0</v>
      </c>
      <c r="AC88" s="64">
        <f t="shared" si="3"/>
        <v>0</v>
      </c>
      <c r="AE88" s="90"/>
      <c r="AF88" s="90"/>
    </row>
    <row r="89" spans="1:32" x14ac:dyDescent="0.2">
      <c r="A89" s="84">
        <v>43697</v>
      </c>
      <c r="B89" s="60"/>
      <c r="C89" s="73"/>
      <c r="D89" s="74"/>
      <c r="E89" s="73"/>
      <c r="F89" s="60"/>
      <c r="G89" s="73"/>
      <c r="H89" s="74"/>
      <c r="I89" s="75"/>
      <c r="J89" s="60"/>
      <c r="K89" s="73"/>
      <c r="L89" s="74"/>
      <c r="M89" s="75"/>
      <c r="N89" s="60"/>
      <c r="O89" s="73"/>
      <c r="P89" s="74"/>
      <c r="Q89" s="75"/>
      <c r="R89" s="60"/>
      <c r="S89" s="73"/>
      <c r="T89" s="74"/>
      <c r="U89" s="75"/>
      <c r="V89" s="60"/>
      <c r="W89" s="73"/>
      <c r="X89" s="60"/>
      <c r="Y89" s="73"/>
      <c r="Z89" s="90"/>
      <c r="AA89" s="57">
        <f t="shared" si="2"/>
        <v>0</v>
      </c>
      <c r="AB89" s="95">
        <f t="shared" si="2"/>
        <v>0</v>
      </c>
      <c r="AC89" s="64">
        <f t="shared" si="3"/>
        <v>0</v>
      </c>
      <c r="AD89" s="90"/>
      <c r="AE89" s="90"/>
      <c r="AF89" s="90"/>
    </row>
    <row r="90" spans="1:32" x14ac:dyDescent="0.2">
      <c r="A90" s="84">
        <v>43698</v>
      </c>
      <c r="B90" s="60"/>
      <c r="C90" s="73"/>
      <c r="D90" s="74"/>
      <c r="E90" s="73"/>
      <c r="F90" s="60"/>
      <c r="G90" s="73"/>
      <c r="H90" s="74"/>
      <c r="I90" s="75"/>
      <c r="J90" s="60"/>
      <c r="K90" s="73"/>
      <c r="L90" s="74"/>
      <c r="M90" s="75"/>
      <c r="N90" s="60"/>
      <c r="O90" s="73"/>
      <c r="P90" s="74"/>
      <c r="Q90" s="75"/>
      <c r="R90" s="60"/>
      <c r="S90" s="73"/>
      <c r="T90" s="74"/>
      <c r="U90" s="75"/>
      <c r="V90" s="60"/>
      <c r="W90" s="73"/>
      <c r="X90" s="60"/>
      <c r="Y90" s="73"/>
      <c r="Z90" s="90"/>
      <c r="AA90" s="57">
        <f t="shared" si="2"/>
        <v>0</v>
      </c>
      <c r="AB90" s="95">
        <f t="shared" si="2"/>
        <v>0</v>
      </c>
      <c r="AC90" s="64">
        <f t="shared" si="3"/>
        <v>0</v>
      </c>
      <c r="AD90" s="90"/>
      <c r="AE90" s="90"/>
      <c r="AF90" s="90"/>
    </row>
    <row r="91" spans="1:32" x14ac:dyDescent="0.2">
      <c r="A91" s="84">
        <v>43699</v>
      </c>
      <c r="B91" s="60"/>
      <c r="C91" s="73"/>
      <c r="D91" s="74"/>
      <c r="E91" s="73"/>
      <c r="F91" s="60"/>
      <c r="G91" s="73"/>
      <c r="H91" s="74"/>
      <c r="I91" s="75"/>
      <c r="J91" s="60"/>
      <c r="K91" s="73"/>
      <c r="L91" s="74"/>
      <c r="M91" s="75"/>
      <c r="N91" s="60"/>
      <c r="O91" s="73"/>
      <c r="P91" s="74"/>
      <c r="Q91" s="75"/>
      <c r="R91" s="60"/>
      <c r="S91" s="73"/>
      <c r="T91" s="74"/>
      <c r="U91" s="75"/>
      <c r="V91" s="60"/>
      <c r="W91" s="73"/>
      <c r="X91" s="60"/>
      <c r="Y91" s="73"/>
      <c r="Z91" s="90"/>
      <c r="AA91" s="57">
        <f t="shared" si="2"/>
        <v>0</v>
      </c>
      <c r="AB91" s="95">
        <f t="shared" si="2"/>
        <v>0</v>
      </c>
      <c r="AC91" s="64">
        <f t="shared" si="3"/>
        <v>0</v>
      </c>
      <c r="AD91" s="90"/>
      <c r="AE91" s="90"/>
      <c r="AF91" s="90"/>
    </row>
    <row r="92" spans="1:32" x14ac:dyDescent="0.2">
      <c r="A92" s="84">
        <v>43700</v>
      </c>
      <c r="B92" s="60"/>
      <c r="C92" s="73"/>
      <c r="D92" s="74"/>
      <c r="E92" s="73"/>
      <c r="F92" s="60"/>
      <c r="G92" s="73"/>
      <c r="H92" s="74"/>
      <c r="I92" s="75"/>
      <c r="J92" s="60"/>
      <c r="K92" s="73"/>
      <c r="L92" s="74"/>
      <c r="M92" s="75"/>
      <c r="N92" s="60"/>
      <c r="O92" s="73"/>
      <c r="P92" s="74"/>
      <c r="Q92" s="75"/>
      <c r="R92" s="60"/>
      <c r="S92" s="73"/>
      <c r="T92" s="74"/>
      <c r="U92" s="75"/>
      <c r="V92" s="60"/>
      <c r="W92" s="73"/>
      <c r="X92" s="60"/>
      <c r="Y92" s="73"/>
      <c r="Z92" s="90"/>
      <c r="AA92" s="57">
        <f t="shared" si="2"/>
        <v>0</v>
      </c>
      <c r="AB92" s="95">
        <f t="shared" si="2"/>
        <v>0</v>
      </c>
      <c r="AC92" s="71">
        <f t="shared" si="3"/>
        <v>0</v>
      </c>
      <c r="AD92" s="72">
        <f>SUM(AC88:AC92)</f>
        <v>0</v>
      </c>
      <c r="AE92" s="90"/>
      <c r="AF92" s="90"/>
    </row>
    <row r="93" spans="1:32" x14ac:dyDescent="0.2">
      <c r="A93" s="24">
        <v>43701</v>
      </c>
      <c r="B93" s="76"/>
      <c r="C93" s="77"/>
      <c r="D93" s="78"/>
      <c r="E93" s="77"/>
      <c r="F93" s="76"/>
      <c r="G93" s="77"/>
      <c r="H93" s="78"/>
      <c r="I93" s="4"/>
      <c r="J93" s="76"/>
      <c r="K93" s="77"/>
      <c r="L93" s="78"/>
      <c r="M93" s="4"/>
      <c r="N93" s="76"/>
      <c r="O93" s="77"/>
      <c r="P93" s="78"/>
      <c r="Q93" s="4"/>
      <c r="R93" s="76"/>
      <c r="S93" s="77"/>
      <c r="T93" s="78"/>
      <c r="U93" s="4"/>
      <c r="V93" s="76"/>
      <c r="W93" s="77"/>
      <c r="X93" s="76"/>
      <c r="Y93" s="77"/>
      <c r="Z93" s="90"/>
      <c r="AA93" s="34">
        <f t="shared" si="2"/>
        <v>0</v>
      </c>
      <c r="AB93" s="33">
        <f t="shared" si="2"/>
        <v>0</v>
      </c>
      <c r="AC93" s="51">
        <f t="shared" si="3"/>
        <v>0</v>
      </c>
      <c r="AD93" s="90"/>
      <c r="AE93" s="90"/>
      <c r="AF93" s="90"/>
    </row>
    <row r="94" spans="1:32" x14ac:dyDescent="0.2">
      <c r="A94" s="24">
        <v>43702</v>
      </c>
      <c r="B94" s="76"/>
      <c r="C94" s="77"/>
      <c r="D94" s="78"/>
      <c r="E94" s="77"/>
      <c r="F94" s="76"/>
      <c r="G94" s="77"/>
      <c r="H94" s="78"/>
      <c r="I94" s="4"/>
      <c r="J94" s="76"/>
      <c r="K94" s="77"/>
      <c r="L94" s="78"/>
      <c r="M94" s="4"/>
      <c r="N94" s="76"/>
      <c r="O94" s="77"/>
      <c r="P94" s="78"/>
      <c r="Q94" s="4"/>
      <c r="R94" s="76"/>
      <c r="S94" s="77"/>
      <c r="T94" s="78"/>
      <c r="U94" s="4"/>
      <c r="V94" s="76"/>
      <c r="W94" s="77"/>
      <c r="X94" s="76"/>
      <c r="Y94" s="77"/>
      <c r="Z94" s="90"/>
      <c r="AA94" s="34">
        <f t="shared" si="2"/>
        <v>0</v>
      </c>
      <c r="AB94" s="33">
        <f t="shared" si="2"/>
        <v>0</v>
      </c>
      <c r="AC94" s="51">
        <f t="shared" si="3"/>
        <v>0</v>
      </c>
      <c r="AD94" s="90"/>
      <c r="AE94" s="90"/>
      <c r="AF94" s="90"/>
    </row>
    <row r="95" spans="1:32" x14ac:dyDescent="0.2">
      <c r="A95" s="84">
        <v>43703</v>
      </c>
      <c r="B95" s="60"/>
      <c r="C95" s="73"/>
      <c r="D95" s="74"/>
      <c r="E95" s="73"/>
      <c r="F95" s="60"/>
      <c r="G95" s="73"/>
      <c r="H95" s="74"/>
      <c r="I95" s="75"/>
      <c r="J95" s="60"/>
      <c r="K95" s="73"/>
      <c r="L95" s="74"/>
      <c r="M95" s="75"/>
      <c r="N95" s="60"/>
      <c r="O95" s="73"/>
      <c r="P95" s="74"/>
      <c r="Q95" s="75"/>
      <c r="R95" s="60"/>
      <c r="S95" s="73"/>
      <c r="T95" s="74"/>
      <c r="U95" s="75"/>
      <c r="V95" s="60"/>
      <c r="W95" s="73"/>
      <c r="X95" s="60"/>
      <c r="Y95" s="73"/>
      <c r="Z95" s="90"/>
      <c r="AA95" s="57">
        <f t="shared" si="2"/>
        <v>0</v>
      </c>
      <c r="AB95" s="95">
        <f t="shared" si="2"/>
        <v>0</v>
      </c>
      <c r="AC95" s="64">
        <f t="shared" si="3"/>
        <v>0</v>
      </c>
      <c r="AE95" s="90"/>
      <c r="AF95" s="90"/>
    </row>
    <row r="96" spans="1:32" x14ac:dyDescent="0.2">
      <c r="A96" s="84">
        <v>43704</v>
      </c>
      <c r="B96" s="60"/>
      <c r="C96" s="73"/>
      <c r="D96" s="74"/>
      <c r="E96" s="73"/>
      <c r="F96" s="60"/>
      <c r="G96" s="73"/>
      <c r="H96" s="74"/>
      <c r="I96" s="75"/>
      <c r="J96" s="60"/>
      <c r="K96" s="73"/>
      <c r="L96" s="74"/>
      <c r="M96" s="75"/>
      <c r="N96" s="60"/>
      <c r="O96" s="73"/>
      <c r="P96" s="74"/>
      <c r="Q96" s="75"/>
      <c r="R96" s="60"/>
      <c r="S96" s="73"/>
      <c r="T96" s="74"/>
      <c r="U96" s="75"/>
      <c r="V96" s="60"/>
      <c r="W96" s="73"/>
      <c r="X96" s="60"/>
      <c r="Y96" s="73"/>
      <c r="Z96" s="90"/>
      <c r="AA96" s="57">
        <f t="shared" si="2"/>
        <v>0</v>
      </c>
      <c r="AB96" s="95">
        <f t="shared" si="2"/>
        <v>0</v>
      </c>
      <c r="AC96" s="64">
        <f t="shared" si="3"/>
        <v>0</v>
      </c>
      <c r="AD96" s="90"/>
      <c r="AE96" s="90"/>
      <c r="AF96" s="90"/>
    </row>
    <row r="97" spans="1:32" x14ac:dyDescent="0.2">
      <c r="A97" s="84">
        <v>43705</v>
      </c>
      <c r="B97" s="98"/>
      <c r="C97" s="73"/>
      <c r="D97" s="74"/>
      <c r="E97" s="73"/>
      <c r="F97" s="60"/>
      <c r="G97" s="73"/>
      <c r="H97" s="74"/>
      <c r="I97" s="75"/>
      <c r="J97" s="60"/>
      <c r="K97" s="73"/>
      <c r="L97" s="74"/>
      <c r="M97" s="75"/>
      <c r="N97" s="60"/>
      <c r="O97" s="73"/>
      <c r="P97" s="74"/>
      <c r="Q97" s="75"/>
      <c r="R97" s="60"/>
      <c r="S97" s="73"/>
      <c r="T97" s="74"/>
      <c r="U97" s="75"/>
      <c r="V97" s="60"/>
      <c r="W97" s="73"/>
      <c r="X97" s="60"/>
      <c r="Y97" s="73"/>
      <c r="Z97" s="90"/>
      <c r="AA97" s="57">
        <f t="shared" si="2"/>
        <v>0</v>
      </c>
      <c r="AB97" s="95">
        <f t="shared" si="2"/>
        <v>0</v>
      </c>
      <c r="AC97" s="64">
        <f t="shared" si="3"/>
        <v>0</v>
      </c>
      <c r="AD97" s="90"/>
      <c r="AE97" s="90"/>
      <c r="AF97" s="90"/>
    </row>
    <row r="98" spans="1:32" x14ac:dyDescent="0.2">
      <c r="A98" s="84">
        <v>43706</v>
      </c>
      <c r="B98" s="60"/>
      <c r="C98" s="73"/>
      <c r="D98" s="74"/>
      <c r="E98" s="73"/>
      <c r="F98" s="60"/>
      <c r="G98" s="73"/>
      <c r="H98" s="74"/>
      <c r="I98" s="75"/>
      <c r="J98" s="60"/>
      <c r="K98" s="73"/>
      <c r="L98" s="74"/>
      <c r="M98" s="75"/>
      <c r="N98" s="60"/>
      <c r="O98" s="73"/>
      <c r="P98" s="74"/>
      <c r="Q98" s="75"/>
      <c r="R98" s="60"/>
      <c r="S98" s="73"/>
      <c r="T98" s="74"/>
      <c r="U98" s="75"/>
      <c r="V98" s="60"/>
      <c r="W98" s="73"/>
      <c r="X98" s="60"/>
      <c r="Y98" s="73"/>
      <c r="Z98" s="90"/>
      <c r="AA98" s="57">
        <f t="shared" si="2"/>
        <v>0</v>
      </c>
      <c r="AB98" s="95">
        <f t="shared" si="2"/>
        <v>0</v>
      </c>
      <c r="AC98" s="64">
        <f t="shared" si="3"/>
        <v>0</v>
      </c>
      <c r="AD98" s="90"/>
      <c r="AE98" s="90"/>
      <c r="AF98" s="90"/>
    </row>
    <row r="99" spans="1:32" x14ac:dyDescent="0.2">
      <c r="A99" s="84">
        <v>43707</v>
      </c>
      <c r="B99" s="60"/>
      <c r="C99" s="73"/>
      <c r="D99" s="74"/>
      <c r="E99" s="75"/>
      <c r="F99" s="60"/>
      <c r="G99" s="73"/>
      <c r="H99" s="74"/>
      <c r="I99" s="75"/>
      <c r="J99" s="60"/>
      <c r="K99" s="73"/>
      <c r="L99" s="74"/>
      <c r="M99" s="75"/>
      <c r="N99" s="60"/>
      <c r="O99" s="73"/>
      <c r="P99" s="74"/>
      <c r="Q99" s="75"/>
      <c r="R99" s="60"/>
      <c r="S99" s="73"/>
      <c r="T99" s="74"/>
      <c r="U99" s="75"/>
      <c r="V99" s="60"/>
      <c r="W99" s="73"/>
      <c r="X99" s="60"/>
      <c r="Y99" s="73"/>
      <c r="Z99" s="90"/>
      <c r="AA99" s="57">
        <f t="shared" ref="AA99:AB101" si="4">B99+D99+F99+H99+J99+L99+N99+P99+R99+T99+V99+X99</f>
        <v>0</v>
      </c>
      <c r="AB99" s="95">
        <f t="shared" si="4"/>
        <v>0</v>
      </c>
      <c r="AC99" s="71">
        <f>AA99+AB99</f>
        <v>0</v>
      </c>
      <c r="AD99" s="72">
        <f>SUM(AC95:AC99)</f>
        <v>0</v>
      </c>
      <c r="AE99" s="90"/>
      <c r="AF99" s="90"/>
    </row>
    <row r="100" spans="1:32" x14ac:dyDescent="0.2">
      <c r="A100" s="24">
        <v>43708</v>
      </c>
      <c r="B100" s="76"/>
      <c r="C100" s="77"/>
      <c r="D100" s="78"/>
      <c r="E100" s="4"/>
      <c r="F100" s="76"/>
      <c r="G100" s="77"/>
      <c r="H100" s="78"/>
      <c r="I100" s="4"/>
      <c r="J100" s="76"/>
      <c r="K100" s="77"/>
      <c r="L100" s="78"/>
      <c r="M100" s="4"/>
      <c r="N100" s="76"/>
      <c r="O100" s="77"/>
      <c r="P100" s="78"/>
      <c r="Q100" s="4"/>
      <c r="R100" s="76"/>
      <c r="S100" s="77"/>
      <c r="T100" s="78"/>
      <c r="U100" s="4"/>
      <c r="V100" s="76"/>
      <c r="W100" s="77"/>
      <c r="X100" s="76"/>
      <c r="Y100" s="77"/>
      <c r="Z100" s="90"/>
      <c r="AA100" s="34">
        <f t="shared" si="4"/>
        <v>0</v>
      </c>
      <c r="AB100" s="33">
        <f t="shared" si="4"/>
        <v>0</v>
      </c>
      <c r="AC100" s="51">
        <f>AA100+AB100</f>
        <v>0</v>
      </c>
      <c r="AD100" s="90"/>
      <c r="AE100" s="90"/>
      <c r="AF100" s="90"/>
    </row>
    <row r="101" spans="1:32" ht="15" thickBot="1" x14ac:dyDescent="0.25">
      <c r="A101" s="89"/>
      <c r="B101" s="62">
        <f>SUM(B70:B100)</f>
        <v>0</v>
      </c>
      <c r="C101" s="66">
        <f>SUM(C70:C100)</f>
        <v>0</v>
      </c>
      <c r="D101" s="61">
        <f t="shared" ref="D101:U101" si="5">SUM(D70:D100)</f>
        <v>0</v>
      </c>
      <c r="E101" s="67">
        <f t="shared" si="5"/>
        <v>0</v>
      </c>
      <c r="F101" s="62">
        <f t="shared" si="5"/>
        <v>0</v>
      </c>
      <c r="G101" s="66">
        <f t="shared" si="5"/>
        <v>0</v>
      </c>
      <c r="H101" s="61">
        <f t="shared" si="5"/>
        <v>0</v>
      </c>
      <c r="I101" s="67">
        <f t="shared" si="5"/>
        <v>0</v>
      </c>
      <c r="J101" s="62">
        <f t="shared" si="5"/>
        <v>0</v>
      </c>
      <c r="K101" s="66">
        <f t="shared" si="5"/>
        <v>0</v>
      </c>
      <c r="L101" s="61">
        <f t="shared" si="5"/>
        <v>0</v>
      </c>
      <c r="M101" s="67">
        <f t="shared" si="5"/>
        <v>0</v>
      </c>
      <c r="N101" s="62">
        <f t="shared" si="5"/>
        <v>0</v>
      </c>
      <c r="O101" s="66">
        <f t="shared" si="5"/>
        <v>0</v>
      </c>
      <c r="P101" s="61">
        <f t="shared" si="5"/>
        <v>0</v>
      </c>
      <c r="Q101" s="67">
        <f t="shared" si="5"/>
        <v>0</v>
      </c>
      <c r="R101" s="62">
        <f t="shared" si="5"/>
        <v>0</v>
      </c>
      <c r="S101" s="66">
        <f t="shared" si="5"/>
        <v>0</v>
      </c>
      <c r="T101" s="61">
        <f t="shared" si="5"/>
        <v>0</v>
      </c>
      <c r="U101" s="67">
        <f t="shared" si="5"/>
        <v>0</v>
      </c>
      <c r="V101" s="62">
        <f>SUM(V70:V100)</f>
        <v>0</v>
      </c>
      <c r="W101" s="66">
        <f>SUM(W70:W100)</f>
        <v>0</v>
      </c>
      <c r="X101" s="62">
        <f>SUM(X70:X100)</f>
        <v>0</v>
      </c>
      <c r="Y101" s="66">
        <f>SUM(Y70:Y100)</f>
        <v>0</v>
      </c>
      <c r="Z101" s="90"/>
      <c r="AA101" s="102">
        <f t="shared" si="4"/>
        <v>0</v>
      </c>
      <c r="AB101" s="103">
        <f t="shared" si="4"/>
        <v>0</v>
      </c>
      <c r="AC101" s="104">
        <f>AA101+AB101</f>
        <v>0</v>
      </c>
      <c r="AD101" s="90">
        <f>SUM(AC98:AC101)</f>
        <v>0</v>
      </c>
      <c r="AE101" s="90"/>
      <c r="AF101" s="90"/>
    </row>
    <row r="102" spans="1:32" x14ac:dyDescent="0.2">
      <c r="A102" s="89"/>
      <c r="B102" s="89"/>
      <c r="C102" s="89"/>
      <c r="D102" s="89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90"/>
      <c r="AA102" s="90"/>
      <c r="AB102" s="90"/>
      <c r="AC102" s="90"/>
      <c r="AD102" s="90"/>
      <c r="AE102" s="90"/>
      <c r="AF102" s="90"/>
    </row>
    <row r="103" spans="1:32" x14ac:dyDescent="0.2">
      <c r="A103" s="89"/>
      <c r="B103" s="89"/>
      <c r="C103" s="89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90"/>
      <c r="AA103" s="90"/>
      <c r="AB103" s="90"/>
      <c r="AC103" s="90"/>
      <c r="AD103" s="90"/>
      <c r="AE103" s="90"/>
      <c r="AF103" s="90"/>
    </row>
    <row r="104" spans="1:32" x14ac:dyDescent="0.2">
      <c r="A104" s="89"/>
      <c r="B104" s="89"/>
      <c r="C104" s="89"/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90"/>
      <c r="AA104" s="90"/>
      <c r="AB104" s="90"/>
      <c r="AC104" s="90"/>
      <c r="AD104" s="90"/>
      <c r="AE104" s="90"/>
      <c r="AF104" s="90"/>
    </row>
    <row r="105" spans="1:32" x14ac:dyDescent="0.2">
      <c r="A105" s="89"/>
      <c r="B105" s="99" t="s">
        <v>150</v>
      </c>
      <c r="C105" s="100">
        <f>B101+D101+F101+H101+J101+L101+N101+P101+R101+T101+V101+X101</f>
        <v>0</v>
      </c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90"/>
      <c r="AA105" s="90"/>
      <c r="AB105" s="90"/>
      <c r="AC105" s="90"/>
      <c r="AD105" s="90"/>
      <c r="AE105" s="90"/>
      <c r="AF105" s="90"/>
    </row>
    <row r="106" spans="1:32" x14ac:dyDescent="0.2">
      <c r="B106" s="37" t="s">
        <v>151</v>
      </c>
      <c r="C106" s="38">
        <f>C101+E101+G101+I101+K101+M101+O101+Q101+S101+U101+W101+Y101</f>
        <v>0</v>
      </c>
      <c r="Z106" s="89"/>
      <c r="AA106" s="89"/>
      <c r="AB106" s="89"/>
      <c r="AC106" s="89"/>
      <c r="AD106" s="89"/>
      <c r="AE106" s="89"/>
      <c r="AF106" s="89"/>
    </row>
    <row r="107" spans="1:32" x14ac:dyDescent="0.2">
      <c r="Z107" s="89"/>
      <c r="AA107" s="89"/>
      <c r="AB107" s="89"/>
      <c r="AC107" s="89"/>
      <c r="AD107" s="89"/>
      <c r="AE107" s="89"/>
      <c r="AF107" s="89"/>
    </row>
  </sheetData>
  <mergeCells count="12">
    <mergeCell ref="X68:Y68"/>
    <mergeCell ref="B68:C68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6C86-FC76-49CC-8976-042C6B26F1A4}">
  <sheetPr codeName="Foglio18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9731B-4F1E-4919-99E1-2DA62F5C6A0D}">
  <sheetPr codeName="Foglio19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76F3B-0899-4C70-8EDB-D828514AE120}">
  <sheetPr codeName="Foglio20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A5AF9-20F2-4FEE-9DE2-16703BF15E25}">
  <sheetPr codeName="Foglio21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12C5E-619F-4D91-8FD4-02A28FDB88A2}">
  <sheetPr codeName="Foglio14"/>
  <dimension ref="A1:A155"/>
  <sheetViews>
    <sheetView topLeftCell="A112" workbookViewId="0">
      <selection activeCell="A140" sqref="A140"/>
    </sheetView>
  </sheetViews>
  <sheetFormatPr defaultRowHeight="14.25" x14ac:dyDescent="0.2"/>
  <cols>
    <col min="1" max="1" width="50.5" bestFit="1" customWidth="1"/>
  </cols>
  <sheetData>
    <row r="1" spans="1:1" x14ac:dyDescent="0.2">
      <c r="A1" t="s">
        <v>190</v>
      </c>
    </row>
    <row r="2" spans="1:1" x14ac:dyDescent="0.2">
      <c r="A2" t="s">
        <v>191</v>
      </c>
    </row>
    <row r="3" spans="1:1" x14ac:dyDescent="0.2">
      <c r="A3" t="s">
        <v>128</v>
      </c>
    </row>
    <row r="4" spans="1:1" x14ac:dyDescent="0.2">
      <c r="A4" t="s">
        <v>192</v>
      </c>
    </row>
    <row r="5" spans="1:1" x14ac:dyDescent="0.2">
      <c r="A5" t="s">
        <v>193</v>
      </c>
    </row>
    <row r="6" spans="1:1" x14ac:dyDescent="0.2">
      <c r="A6" t="s">
        <v>194</v>
      </c>
    </row>
    <row r="7" spans="1:1" x14ac:dyDescent="0.2">
      <c r="A7" t="s">
        <v>195</v>
      </c>
    </row>
    <row r="8" spans="1:1" x14ac:dyDescent="0.2">
      <c r="A8" t="s">
        <v>196</v>
      </c>
    </row>
    <row r="9" spans="1:1" x14ac:dyDescent="0.2">
      <c r="A9" t="s">
        <v>197</v>
      </c>
    </row>
    <row r="10" spans="1:1" x14ac:dyDescent="0.2">
      <c r="A10" t="s">
        <v>198</v>
      </c>
    </row>
    <row r="11" spans="1:1" x14ac:dyDescent="0.2">
      <c r="A11" t="s">
        <v>199</v>
      </c>
    </row>
    <row r="12" spans="1:1" x14ac:dyDescent="0.2">
      <c r="A12" t="s">
        <v>200</v>
      </c>
    </row>
    <row r="13" spans="1:1" x14ac:dyDescent="0.2">
      <c r="A13" t="s">
        <v>201</v>
      </c>
    </row>
    <row r="14" spans="1:1" x14ac:dyDescent="0.2">
      <c r="A14" t="s">
        <v>202</v>
      </c>
    </row>
    <row r="15" spans="1:1" x14ac:dyDescent="0.2">
      <c r="A15" t="s">
        <v>203</v>
      </c>
    </row>
    <row r="16" spans="1:1" x14ac:dyDescent="0.2">
      <c r="A16" t="s">
        <v>204</v>
      </c>
    </row>
    <row r="17" spans="1:1" x14ac:dyDescent="0.2">
      <c r="A17" t="s">
        <v>205</v>
      </c>
    </row>
    <row r="18" spans="1:1" x14ac:dyDescent="0.2">
      <c r="A18" t="s">
        <v>206</v>
      </c>
    </row>
    <row r="19" spans="1:1" x14ac:dyDescent="0.2">
      <c r="A19" t="s">
        <v>207</v>
      </c>
    </row>
    <row r="20" spans="1:1" x14ac:dyDescent="0.2">
      <c r="A20" t="s">
        <v>208</v>
      </c>
    </row>
    <row r="21" spans="1:1" x14ac:dyDescent="0.2">
      <c r="A21" t="s">
        <v>209</v>
      </c>
    </row>
    <row r="22" spans="1:1" x14ac:dyDescent="0.2">
      <c r="A22" t="s">
        <v>210</v>
      </c>
    </row>
    <row r="23" spans="1:1" x14ac:dyDescent="0.2">
      <c r="A23" t="s">
        <v>211</v>
      </c>
    </row>
    <row r="24" spans="1:1" x14ac:dyDescent="0.2">
      <c r="A24" t="s">
        <v>212</v>
      </c>
    </row>
    <row r="25" spans="1:1" x14ac:dyDescent="0.2">
      <c r="A25" t="s">
        <v>213</v>
      </c>
    </row>
    <row r="26" spans="1:1" x14ac:dyDescent="0.2">
      <c r="A26" t="s">
        <v>214</v>
      </c>
    </row>
    <row r="27" spans="1:1" x14ac:dyDescent="0.2">
      <c r="A27" t="s">
        <v>215</v>
      </c>
    </row>
    <row r="28" spans="1:1" x14ac:dyDescent="0.2">
      <c r="A28" t="s">
        <v>216</v>
      </c>
    </row>
    <row r="29" spans="1:1" x14ac:dyDescent="0.2">
      <c r="A29" t="s">
        <v>217</v>
      </c>
    </row>
    <row r="30" spans="1:1" x14ac:dyDescent="0.2">
      <c r="A30" t="s">
        <v>218</v>
      </c>
    </row>
    <row r="31" spans="1:1" x14ac:dyDescent="0.2">
      <c r="A31" t="s">
        <v>219</v>
      </c>
    </row>
    <row r="32" spans="1:1" x14ac:dyDescent="0.2">
      <c r="A32" t="s">
        <v>220</v>
      </c>
    </row>
    <row r="33" spans="1:1" x14ac:dyDescent="0.2">
      <c r="A33" t="s">
        <v>221</v>
      </c>
    </row>
    <row r="34" spans="1:1" x14ac:dyDescent="0.2">
      <c r="A34" t="s">
        <v>222</v>
      </c>
    </row>
    <row r="35" spans="1:1" x14ac:dyDescent="0.2">
      <c r="A35" t="s">
        <v>223</v>
      </c>
    </row>
    <row r="36" spans="1:1" x14ac:dyDescent="0.2">
      <c r="A36" t="s">
        <v>224</v>
      </c>
    </row>
    <row r="37" spans="1:1" x14ac:dyDescent="0.2">
      <c r="A37" t="s">
        <v>225</v>
      </c>
    </row>
    <row r="38" spans="1:1" x14ac:dyDescent="0.2">
      <c r="A38" t="s">
        <v>225</v>
      </c>
    </row>
    <row r="39" spans="1:1" x14ac:dyDescent="0.2">
      <c r="A39" t="s">
        <v>226</v>
      </c>
    </row>
    <row r="40" spans="1:1" x14ac:dyDescent="0.2">
      <c r="A40" t="s">
        <v>227</v>
      </c>
    </row>
    <row r="41" spans="1:1" x14ac:dyDescent="0.2">
      <c r="A41" t="s">
        <v>228</v>
      </c>
    </row>
    <row r="42" spans="1:1" x14ac:dyDescent="0.2">
      <c r="A42" t="s">
        <v>229</v>
      </c>
    </row>
    <row r="43" spans="1:1" x14ac:dyDescent="0.2">
      <c r="A43" t="s">
        <v>230</v>
      </c>
    </row>
    <row r="44" spans="1:1" x14ac:dyDescent="0.2">
      <c r="A44" t="s">
        <v>231</v>
      </c>
    </row>
    <row r="45" spans="1:1" x14ac:dyDescent="0.2">
      <c r="A45" t="s">
        <v>232</v>
      </c>
    </row>
    <row r="46" spans="1:1" x14ac:dyDescent="0.2">
      <c r="A46" t="s">
        <v>233</v>
      </c>
    </row>
    <row r="47" spans="1:1" x14ac:dyDescent="0.2">
      <c r="A47" t="s">
        <v>234</v>
      </c>
    </row>
    <row r="48" spans="1:1" x14ac:dyDescent="0.2">
      <c r="A48" t="s">
        <v>235</v>
      </c>
    </row>
    <row r="49" spans="1:1" x14ac:dyDescent="0.2">
      <c r="A49" t="s">
        <v>236</v>
      </c>
    </row>
    <row r="50" spans="1:1" x14ac:dyDescent="0.2">
      <c r="A50" t="s">
        <v>237</v>
      </c>
    </row>
    <row r="51" spans="1:1" x14ac:dyDescent="0.2">
      <c r="A51" t="s">
        <v>237</v>
      </c>
    </row>
    <row r="52" spans="1:1" x14ac:dyDescent="0.2">
      <c r="A52" t="s">
        <v>238</v>
      </c>
    </row>
    <row r="53" spans="1:1" x14ac:dyDescent="0.2">
      <c r="A53" t="s">
        <v>239</v>
      </c>
    </row>
    <row r="54" spans="1:1" x14ac:dyDescent="0.2">
      <c r="A54" t="s">
        <v>30</v>
      </c>
    </row>
    <row r="55" spans="1:1" x14ac:dyDescent="0.2">
      <c r="A55" t="s">
        <v>240</v>
      </c>
    </row>
    <row r="56" spans="1:1" x14ac:dyDescent="0.2">
      <c r="A56" t="s">
        <v>241</v>
      </c>
    </row>
    <row r="57" spans="1:1" x14ac:dyDescent="0.2">
      <c r="A57" t="s">
        <v>242</v>
      </c>
    </row>
    <row r="58" spans="1:1" x14ac:dyDescent="0.2">
      <c r="A58" t="s">
        <v>243</v>
      </c>
    </row>
    <row r="59" spans="1:1" x14ac:dyDescent="0.2">
      <c r="A59" t="s">
        <v>244</v>
      </c>
    </row>
    <row r="60" spans="1:1" x14ac:dyDescent="0.2">
      <c r="A60" t="s">
        <v>245</v>
      </c>
    </row>
    <row r="61" spans="1:1" x14ac:dyDescent="0.2">
      <c r="A61" t="s">
        <v>246</v>
      </c>
    </row>
    <row r="62" spans="1:1" x14ac:dyDescent="0.2">
      <c r="A62" t="s">
        <v>170</v>
      </c>
    </row>
    <row r="63" spans="1:1" x14ac:dyDescent="0.2">
      <c r="A63" t="s">
        <v>247</v>
      </c>
    </row>
    <row r="64" spans="1:1" x14ac:dyDescent="0.2">
      <c r="A64" t="s">
        <v>248</v>
      </c>
    </row>
    <row r="65" spans="1:1" x14ac:dyDescent="0.2">
      <c r="A65" t="s">
        <v>249</v>
      </c>
    </row>
    <row r="66" spans="1:1" x14ac:dyDescent="0.2">
      <c r="A66" t="s">
        <v>172</v>
      </c>
    </row>
    <row r="67" spans="1:1" x14ac:dyDescent="0.2">
      <c r="A67" t="s">
        <v>250</v>
      </c>
    </row>
    <row r="68" spans="1:1" x14ac:dyDescent="0.2">
      <c r="A68" t="s">
        <v>90</v>
      </c>
    </row>
    <row r="69" spans="1:1" x14ac:dyDescent="0.2">
      <c r="A69" t="s">
        <v>251</v>
      </c>
    </row>
    <row r="70" spans="1:1" x14ac:dyDescent="0.2">
      <c r="A70" t="s">
        <v>252</v>
      </c>
    </row>
    <row r="71" spans="1:1" x14ac:dyDescent="0.2">
      <c r="A71" t="s">
        <v>253</v>
      </c>
    </row>
    <row r="72" spans="1:1" x14ac:dyDescent="0.2">
      <c r="A72" t="s">
        <v>76</v>
      </c>
    </row>
    <row r="73" spans="1:1" x14ac:dyDescent="0.2">
      <c r="A73" t="s">
        <v>254</v>
      </c>
    </row>
    <row r="74" spans="1:1" x14ac:dyDescent="0.2">
      <c r="A74" t="s">
        <v>255</v>
      </c>
    </row>
    <row r="75" spans="1:1" x14ac:dyDescent="0.2">
      <c r="A75" t="s">
        <v>256</v>
      </c>
    </row>
    <row r="76" spans="1:1" x14ac:dyDescent="0.2">
      <c r="A76" t="s">
        <v>257</v>
      </c>
    </row>
    <row r="77" spans="1:1" x14ac:dyDescent="0.2">
      <c r="A77" t="s">
        <v>258</v>
      </c>
    </row>
    <row r="78" spans="1:1" x14ac:dyDescent="0.2">
      <c r="A78" t="s">
        <v>259</v>
      </c>
    </row>
    <row r="79" spans="1:1" x14ac:dyDescent="0.2">
      <c r="A79" t="s">
        <v>260</v>
      </c>
    </row>
    <row r="80" spans="1:1" x14ac:dyDescent="0.2">
      <c r="A80" t="s">
        <v>261</v>
      </c>
    </row>
    <row r="81" spans="1:1" x14ac:dyDescent="0.2">
      <c r="A81" t="s">
        <v>262</v>
      </c>
    </row>
    <row r="82" spans="1:1" x14ac:dyDescent="0.2">
      <c r="A82" t="s">
        <v>263</v>
      </c>
    </row>
    <row r="83" spans="1:1" x14ac:dyDescent="0.2">
      <c r="A83" t="s">
        <v>264</v>
      </c>
    </row>
    <row r="84" spans="1:1" x14ac:dyDescent="0.2">
      <c r="A84" t="s">
        <v>265</v>
      </c>
    </row>
    <row r="85" spans="1:1" x14ac:dyDescent="0.2">
      <c r="A85" t="s">
        <v>266</v>
      </c>
    </row>
    <row r="86" spans="1:1" x14ac:dyDescent="0.2">
      <c r="A86" t="s">
        <v>267</v>
      </c>
    </row>
    <row r="87" spans="1:1" x14ac:dyDescent="0.2">
      <c r="A87" t="s">
        <v>268</v>
      </c>
    </row>
    <row r="88" spans="1:1" x14ac:dyDescent="0.2">
      <c r="A88" t="s">
        <v>269</v>
      </c>
    </row>
    <row r="89" spans="1:1" x14ac:dyDescent="0.2">
      <c r="A89" t="s">
        <v>270</v>
      </c>
    </row>
    <row r="90" spans="1:1" x14ac:dyDescent="0.2">
      <c r="A90" t="s">
        <v>271</v>
      </c>
    </row>
    <row r="91" spans="1:1" x14ac:dyDescent="0.2">
      <c r="A91" t="s">
        <v>272</v>
      </c>
    </row>
    <row r="92" spans="1:1" x14ac:dyDescent="0.2">
      <c r="A92" t="s">
        <v>273</v>
      </c>
    </row>
    <row r="93" spans="1:1" x14ac:dyDescent="0.2">
      <c r="A93" t="s">
        <v>274</v>
      </c>
    </row>
    <row r="94" spans="1:1" x14ac:dyDescent="0.2">
      <c r="A94" t="s">
        <v>275</v>
      </c>
    </row>
    <row r="95" spans="1:1" x14ac:dyDescent="0.2">
      <c r="A95" t="s">
        <v>325</v>
      </c>
    </row>
    <row r="96" spans="1:1" x14ac:dyDescent="0.2">
      <c r="A96" t="s">
        <v>276</v>
      </c>
    </row>
    <row r="97" spans="1:1" x14ac:dyDescent="0.2">
      <c r="A97" t="s">
        <v>324</v>
      </c>
    </row>
    <row r="98" spans="1:1" x14ac:dyDescent="0.2">
      <c r="A98" t="s">
        <v>277</v>
      </c>
    </row>
    <row r="99" spans="1:1" x14ac:dyDescent="0.2">
      <c r="A99" t="s">
        <v>278</v>
      </c>
    </row>
    <row r="100" spans="1:1" x14ac:dyDescent="0.2">
      <c r="A100" t="s">
        <v>279</v>
      </c>
    </row>
    <row r="101" spans="1:1" x14ac:dyDescent="0.2">
      <c r="A101" t="s">
        <v>280</v>
      </c>
    </row>
    <row r="102" spans="1:1" x14ac:dyDescent="0.2">
      <c r="A102" t="s">
        <v>169</v>
      </c>
    </row>
    <row r="103" spans="1:1" x14ac:dyDescent="0.2">
      <c r="A103" t="s">
        <v>281</v>
      </c>
    </row>
    <row r="104" spans="1:1" x14ac:dyDescent="0.2">
      <c r="A104" t="s">
        <v>330</v>
      </c>
    </row>
    <row r="105" spans="1:1" x14ac:dyDescent="0.2">
      <c r="A105" t="s">
        <v>282</v>
      </c>
    </row>
    <row r="106" spans="1:1" x14ac:dyDescent="0.2">
      <c r="A106" t="s">
        <v>283</v>
      </c>
    </row>
    <row r="107" spans="1:1" x14ac:dyDescent="0.2">
      <c r="A107" t="s">
        <v>284</v>
      </c>
    </row>
    <row r="108" spans="1:1" x14ac:dyDescent="0.2">
      <c r="A108" t="s">
        <v>285</v>
      </c>
    </row>
    <row r="109" spans="1:1" x14ac:dyDescent="0.2">
      <c r="A109" t="s">
        <v>286</v>
      </c>
    </row>
    <row r="110" spans="1:1" x14ac:dyDescent="0.2">
      <c r="A110" t="s">
        <v>287</v>
      </c>
    </row>
    <row r="111" spans="1:1" x14ac:dyDescent="0.2">
      <c r="A111" t="s">
        <v>288</v>
      </c>
    </row>
    <row r="112" spans="1:1" x14ac:dyDescent="0.2">
      <c r="A112" t="s">
        <v>289</v>
      </c>
    </row>
    <row r="113" spans="1:1" x14ac:dyDescent="0.2">
      <c r="A113" t="s">
        <v>290</v>
      </c>
    </row>
    <row r="114" spans="1:1" x14ac:dyDescent="0.2">
      <c r="A114" t="s">
        <v>291</v>
      </c>
    </row>
    <row r="115" spans="1:1" x14ac:dyDescent="0.2">
      <c r="A115" t="s">
        <v>292</v>
      </c>
    </row>
    <row r="116" spans="1:1" x14ac:dyDescent="0.2">
      <c r="A116" t="s">
        <v>293</v>
      </c>
    </row>
    <row r="117" spans="1:1" x14ac:dyDescent="0.2">
      <c r="A117" t="s">
        <v>294</v>
      </c>
    </row>
    <row r="118" spans="1:1" x14ac:dyDescent="0.2">
      <c r="A118" t="s">
        <v>295</v>
      </c>
    </row>
    <row r="119" spans="1:1" x14ac:dyDescent="0.2">
      <c r="A119" t="s">
        <v>331</v>
      </c>
    </row>
    <row r="120" spans="1:1" x14ac:dyDescent="0.2">
      <c r="A120" t="s">
        <v>296</v>
      </c>
    </row>
    <row r="121" spans="1:1" x14ac:dyDescent="0.2">
      <c r="A121" t="s">
        <v>297</v>
      </c>
    </row>
    <row r="122" spans="1:1" x14ac:dyDescent="0.2">
      <c r="A122" t="s">
        <v>298</v>
      </c>
    </row>
    <row r="123" spans="1:1" x14ac:dyDescent="0.2">
      <c r="A123" t="s">
        <v>299</v>
      </c>
    </row>
    <row r="124" spans="1:1" x14ac:dyDescent="0.2">
      <c r="A124" t="s">
        <v>300</v>
      </c>
    </row>
    <row r="125" spans="1:1" x14ac:dyDescent="0.2">
      <c r="A125" t="s">
        <v>301</v>
      </c>
    </row>
    <row r="126" spans="1:1" x14ac:dyDescent="0.2">
      <c r="A126" t="s">
        <v>302</v>
      </c>
    </row>
    <row r="127" spans="1:1" x14ac:dyDescent="0.2">
      <c r="A127" t="s">
        <v>303</v>
      </c>
    </row>
    <row r="128" spans="1:1" x14ac:dyDescent="0.2">
      <c r="A128" t="s">
        <v>304</v>
      </c>
    </row>
    <row r="129" spans="1:1" x14ac:dyDescent="0.2">
      <c r="A129" t="s">
        <v>305</v>
      </c>
    </row>
    <row r="130" spans="1:1" x14ac:dyDescent="0.2">
      <c r="A130" t="s">
        <v>140</v>
      </c>
    </row>
    <row r="131" spans="1:1" x14ac:dyDescent="0.2">
      <c r="A131" t="s">
        <v>306</v>
      </c>
    </row>
    <row r="132" spans="1:1" x14ac:dyDescent="0.2">
      <c r="A132" t="s">
        <v>168</v>
      </c>
    </row>
    <row r="133" spans="1:1" x14ac:dyDescent="0.2">
      <c r="A133" t="s">
        <v>307</v>
      </c>
    </row>
    <row r="134" spans="1:1" x14ac:dyDescent="0.2">
      <c r="A134" t="s">
        <v>308</v>
      </c>
    </row>
    <row r="135" spans="1:1" x14ac:dyDescent="0.2">
      <c r="A135" t="s">
        <v>309</v>
      </c>
    </row>
    <row r="136" spans="1:1" x14ac:dyDescent="0.2">
      <c r="A136" t="s">
        <v>310</v>
      </c>
    </row>
    <row r="137" spans="1:1" x14ac:dyDescent="0.2">
      <c r="A137" t="s">
        <v>311</v>
      </c>
    </row>
    <row r="138" spans="1:1" x14ac:dyDescent="0.2">
      <c r="A138" t="s">
        <v>312</v>
      </c>
    </row>
    <row r="139" spans="1:1" x14ac:dyDescent="0.2">
      <c r="A139" t="s">
        <v>313</v>
      </c>
    </row>
    <row r="140" spans="1:1" x14ac:dyDescent="0.2">
      <c r="A140" t="s">
        <v>314</v>
      </c>
    </row>
    <row r="141" spans="1:1" x14ac:dyDescent="0.2">
      <c r="A141" t="s">
        <v>315</v>
      </c>
    </row>
    <row r="142" spans="1:1" x14ac:dyDescent="0.2">
      <c r="A142" t="s">
        <v>316</v>
      </c>
    </row>
    <row r="143" spans="1:1" x14ac:dyDescent="0.2">
      <c r="A143" t="s">
        <v>329</v>
      </c>
    </row>
    <row r="144" spans="1:1" x14ac:dyDescent="0.2">
      <c r="A144" t="s">
        <v>317</v>
      </c>
    </row>
    <row r="145" spans="1:1" x14ac:dyDescent="0.2">
      <c r="A145" t="s">
        <v>318</v>
      </c>
    </row>
    <row r="146" spans="1:1" x14ac:dyDescent="0.2">
      <c r="A146" t="s">
        <v>319</v>
      </c>
    </row>
    <row r="147" spans="1:1" x14ac:dyDescent="0.2">
      <c r="A147" t="s">
        <v>320</v>
      </c>
    </row>
    <row r="148" spans="1:1" x14ac:dyDescent="0.2">
      <c r="A148" t="s">
        <v>321</v>
      </c>
    </row>
    <row r="149" spans="1:1" x14ac:dyDescent="0.2">
      <c r="A149" t="s">
        <v>328</v>
      </c>
    </row>
    <row r="150" spans="1:1" x14ac:dyDescent="0.2">
      <c r="A150" t="s">
        <v>326</v>
      </c>
    </row>
    <row r="151" spans="1:1" x14ac:dyDescent="0.2">
      <c r="A151" t="s">
        <v>322</v>
      </c>
    </row>
    <row r="152" spans="1:1" x14ac:dyDescent="0.2">
      <c r="A152" t="s">
        <v>327</v>
      </c>
    </row>
    <row r="153" spans="1:1" x14ac:dyDescent="0.2">
      <c r="A153" t="s">
        <v>323</v>
      </c>
    </row>
    <row r="154" spans="1:1" x14ac:dyDescent="0.2">
      <c r="A154" t="s">
        <v>332</v>
      </c>
    </row>
    <row r="155" spans="1:1" x14ac:dyDescent="0.2">
      <c r="A155" t="s">
        <v>171</v>
      </c>
    </row>
  </sheetData>
  <sortState ref="A1:A153">
    <sortCondition ref="A118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"/>
  <dimension ref="A1:D34"/>
  <sheetViews>
    <sheetView workbookViewId="0">
      <selection activeCell="A18" sqref="A18"/>
    </sheetView>
  </sheetViews>
  <sheetFormatPr defaultRowHeight="14.25" x14ac:dyDescent="0.2"/>
  <cols>
    <col min="1" max="1" width="29.75" bestFit="1" customWidth="1"/>
  </cols>
  <sheetData>
    <row r="1" spans="1:4" x14ac:dyDescent="0.2">
      <c r="A1" t="s">
        <v>32</v>
      </c>
    </row>
    <row r="2" spans="1:4" x14ac:dyDescent="0.2">
      <c r="A2" t="s">
        <v>33</v>
      </c>
      <c r="B2">
        <v>0</v>
      </c>
      <c r="C2">
        <v>0</v>
      </c>
      <c r="D2">
        <v>0</v>
      </c>
    </row>
    <row r="3" spans="1:4" x14ac:dyDescent="0.2">
      <c r="A3" t="s">
        <v>34</v>
      </c>
      <c r="B3">
        <v>0</v>
      </c>
      <c r="C3">
        <v>0</v>
      </c>
      <c r="D3">
        <v>0</v>
      </c>
    </row>
    <row r="4" spans="1:4" x14ac:dyDescent="0.2">
      <c r="A4" t="s">
        <v>35</v>
      </c>
      <c r="B4">
        <v>0</v>
      </c>
      <c r="C4">
        <v>0</v>
      </c>
      <c r="D4">
        <v>0</v>
      </c>
    </row>
    <row r="5" spans="1:4" x14ac:dyDescent="0.2">
      <c r="A5" t="s">
        <v>36</v>
      </c>
      <c r="B5">
        <v>0</v>
      </c>
      <c r="C5">
        <v>0</v>
      </c>
      <c r="D5">
        <v>0</v>
      </c>
    </row>
    <row r="6" spans="1:4" x14ac:dyDescent="0.2">
      <c r="A6" t="s">
        <v>37</v>
      </c>
      <c r="B6">
        <v>0</v>
      </c>
      <c r="C6">
        <v>0</v>
      </c>
      <c r="D6">
        <v>0</v>
      </c>
    </row>
    <row r="7" spans="1:4" x14ac:dyDescent="0.2">
      <c r="A7" t="s">
        <v>38</v>
      </c>
      <c r="B7">
        <v>0</v>
      </c>
      <c r="C7">
        <v>0</v>
      </c>
      <c r="D7">
        <v>0</v>
      </c>
    </row>
    <row r="8" spans="1:4" x14ac:dyDescent="0.2">
      <c r="A8" t="s">
        <v>39</v>
      </c>
    </row>
    <row r="9" spans="1:4" x14ac:dyDescent="0.2">
      <c r="A9" t="s">
        <v>40</v>
      </c>
    </row>
    <row r="10" spans="1:4" x14ac:dyDescent="0.2">
      <c r="A10" t="s">
        <v>41</v>
      </c>
    </row>
    <row r="11" spans="1:4" x14ac:dyDescent="0.2">
      <c r="A11" t="s">
        <v>42</v>
      </c>
    </row>
    <row r="12" spans="1:4" x14ac:dyDescent="0.2">
      <c r="A12" t="s">
        <v>43</v>
      </c>
    </row>
    <row r="13" spans="1:4" x14ac:dyDescent="0.2">
      <c r="A13" t="s">
        <v>44</v>
      </c>
    </row>
    <row r="14" spans="1:4" x14ac:dyDescent="0.2">
      <c r="A14" t="s">
        <v>45</v>
      </c>
    </row>
    <row r="15" spans="1:4" x14ac:dyDescent="0.2">
      <c r="A15" t="s">
        <v>46</v>
      </c>
    </row>
    <row r="16" spans="1:4" x14ac:dyDescent="0.2">
      <c r="A16" t="s">
        <v>47</v>
      </c>
    </row>
    <row r="17" spans="1:1" x14ac:dyDescent="0.2">
      <c r="A17" t="s">
        <v>48</v>
      </c>
    </row>
    <row r="18" spans="1:1" x14ac:dyDescent="0.2">
      <c r="A18" t="s">
        <v>49</v>
      </c>
    </row>
    <row r="19" spans="1:1" x14ac:dyDescent="0.2">
      <c r="A19" t="s">
        <v>50</v>
      </c>
    </row>
    <row r="20" spans="1:1" x14ac:dyDescent="0.2">
      <c r="A20" t="s">
        <v>51</v>
      </c>
    </row>
    <row r="21" spans="1:1" x14ac:dyDescent="0.2">
      <c r="A21" t="s">
        <v>52</v>
      </c>
    </row>
    <row r="22" spans="1:1" x14ac:dyDescent="0.2">
      <c r="A22" t="s">
        <v>53</v>
      </c>
    </row>
    <row r="23" spans="1:1" x14ac:dyDescent="0.2">
      <c r="A23" t="s">
        <v>54</v>
      </c>
    </row>
    <row r="24" spans="1:1" x14ac:dyDescent="0.2">
      <c r="A24" t="s">
        <v>55</v>
      </c>
    </row>
    <row r="25" spans="1:1" x14ac:dyDescent="0.2">
      <c r="A25" t="s">
        <v>56</v>
      </c>
    </row>
    <row r="26" spans="1:1" x14ac:dyDescent="0.2">
      <c r="A26" t="s">
        <v>57</v>
      </c>
    </row>
    <row r="27" spans="1:1" x14ac:dyDescent="0.2">
      <c r="A27" t="s">
        <v>58</v>
      </c>
    </row>
    <row r="28" spans="1:1" x14ac:dyDescent="0.2">
      <c r="A28" t="s">
        <v>59</v>
      </c>
    </row>
    <row r="29" spans="1:1" x14ac:dyDescent="0.2">
      <c r="A29" t="s">
        <v>60</v>
      </c>
    </row>
    <row r="30" spans="1:1" x14ac:dyDescent="0.2">
      <c r="A30" t="s">
        <v>61</v>
      </c>
    </row>
    <row r="31" spans="1:1" x14ac:dyDescent="0.2">
      <c r="A31" t="s">
        <v>62</v>
      </c>
    </row>
    <row r="32" spans="1:1" x14ac:dyDescent="0.2">
      <c r="A32" t="s">
        <v>63</v>
      </c>
    </row>
    <row r="33" spans="1:1" x14ac:dyDescent="0.2">
      <c r="A33" t="s">
        <v>64</v>
      </c>
    </row>
    <row r="34" spans="1:1" x14ac:dyDescent="0.2">
      <c r="A34" t="s">
        <v>65</v>
      </c>
    </row>
  </sheetData>
  <pageMargins left="0" right="0" top="0.39409448818897641" bottom="0.39409448818897641" header="0" footer="0"/>
  <headerFooter>
    <oddHeader>&amp;C&amp;A</oddHeader>
    <oddFooter>&amp;CPagina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3"/>
  <dimension ref="A1:D7"/>
  <sheetViews>
    <sheetView workbookViewId="0">
      <selection activeCell="D41" sqref="D41"/>
    </sheetView>
  </sheetViews>
  <sheetFormatPr defaultRowHeight="14.25" x14ac:dyDescent="0.2"/>
  <cols>
    <col min="1" max="1" width="18.75" customWidth="1"/>
    <col min="2" max="2" width="13.125" customWidth="1"/>
    <col min="3" max="3" width="11.875" customWidth="1"/>
    <col min="4" max="4" width="23.875" customWidth="1"/>
  </cols>
  <sheetData>
    <row r="1" spans="1:4" ht="15" thickBot="1" x14ac:dyDescent="0.25"/>
    <row r="2" spans="1:4" ht="15.75" thickBot="1" x14ac:dyDescent="0.3">
      <c r="A2" s="19" t="s">
        <v>115</v>
      </c>
      <c r="B2" s="20" t="s">
        <v>117</v>
      </c>
      <c r="C2" s="20" t="s">
        <v>119</v>
      </c>
      <c r="D2" s="21" t="s">
        <v>122</v>
      </c>
    </row>
    <row r="3" spans="1:4" x14ac:dyDescent="0.2">
      <c r="A3" s="12" t="s">
        <v>107</v>
      </c>
      <c r="B3" s="13" t="s">
        <v>118</v>
      </c>
      <c r="C3" s="13" t="s">
        <v>107</v>
      </c>
      <c r="D3" s="14" t="s">
        <v>126</v>
      </c>
    </row>
    <row r="4" spans="1:4" x14ac:dyDescent="0.2">
      <c r="A4" s="15" t="s">
        <v>116</v>
      </c>
      <c r="B4" s="16" t="s">
        <v>118</v>
      </c>
      <c r="C4" s="16" t="s">
        <v>120</v>
      </c>
      <c r="D4" s="18" t="s">
        <v>123</v>
      </c>
    </row>
    <row r="5" spans="1:4" ht="28.5" x14ac:dyDescent="0.2">
      <c r="A5" s="15" t="s">
        <v>121</v>
      </c>
      <c r="B5" s="16" t="s">
        <v>118</v>
      </c>
      <c r="C5" s="17" t="s">
        <v>124</v>
      </c>
      <c r="D5" s="18" t="s">
        <v>125</v>
      </c>
    </row>
    <row r="6" spans="1:4" x14ac:dyDescent="0.2">
      <c r="A6" s="9" t="s">
        <v>6</v>
      </c>
      <c r="B6" s="10" t="s">
        <v>66</v>
      </c>
      <c r="C6" s="10" t="s">
        <v>120</v>
      </c>
      <c r="D6" s="11" t="s">
        <v>130</v>
      </c>
    </row>
    <row r="7" spans="1:4" x14ac:dyDescent="0.2">
      <c r="A7" s="12"/>
      <c r="B7" s="13"/>
      <c r="C7" s="13" t="s">
        <v>129</v>
      </c>
      <c r="D7" s="14"/>
    </row>
  </sheetData>
  <pageMargins left="0" right="0" top="0.39409448818897641" bottom="0.39409448818897641" header="0" footer="0"/>
  <headerFooter>
    <oddHeader>&amp;C&amp;A</oddHeader>
    <oddFooter>&amp;CPagina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7"/>
  <dimension ref="A1:U67"/>
  <sheetViews>
    <sheetView workbookViewId="0">
      <pane ySplit="1" topLeftCell="A5" activePane="bottomLeft" state="frozen"/>
      <selection pane="bottomLeft" activeCell="I24" sqref="I24"/>
    </sheetView>
  </sheetViews>
  <sheetFormatPr defaultRowHeight="14.25" x14ac:dyDescent="0.2"/>
  <cols>
    <col min="1" max="1" width="24" bestFit="1" customWidth="1"/>
    <col min="2" max="3" width="4.25" bestFit="1" customWidth="1"/>
    <col min="4" max="4" width="4" bestFit="1" customWidth="1"/>
    <col min="5" max="5" width="10.375" bestFit="1" customWidth="1"/>
    <col min="6" max="6" width="23.5" style="44" bestFit="1" customWidth="1"/>
    <col min="7" max="7" width="9.375" bestFit="1" customWidth="1"/>
    <col min="11" max="11" width="24" bestFit="1" customWidth="1"/>
    <col min="12" max="13" width="4.25" bestFit="1" customWidth="1"/>
    <col min="14" max="14" width="4" bestFit="1" customWidth="1"/>
    <col min="15" max="15" width="10.375" bestFit="1" customWidth="1"/>
    <col min="16" max="16" width="26.375" style="44" bestFit="1" customWidth="1"/>
    <col min="18" max="18" width="13.75" bestFit="1" customWidth="1"/>
    <col min="21" max="21" width="10.375" bestFit="1" customWidth="1"/>
  </cols>
  <sheetData>
    <row r="1" spans="1:18" ht="15" x14ac:dyDescent="0.25">
      <c r="A1" s="40" t="s">
        <v>153</v>
      </c>
      <c r="B1" s="40" t="s">
        <v>154</v>
      </c>
      <c r="C1" s="40" t="s">
        <v>155</v>
      </c>
      <c r="D1" s="40" t="s">
        <v>156</v>
      </c>
      <c r="E1" s="40" t="s">
        <v>157</v>
      </c>
      <c r="F1" s="42" t="s">
        <v>158</v>
      </c>
      <c r="K1" s="40" t="s">
        <v>153</v>
      </c>
      <c r="L1" s="40" t="s">
        <v>154</v>
      </c>
      <c r="M1" s="40" t="s">
        <v>155</v>
      </c>
      <c r="N1" s="40" t="s">
        <v>156</v>
      </c>
      <c r="O1" s="40" t="s">
        <v>157</v>
      </c>
      <c r="P1" s="42" t="s">
        <v>159</v>
      </c>
      <c r="R1" s="42" t="s">
        <v>160</v>
      </c>
    </row>
    <row r="2" spans="1:18" x14ac:dyDescent="0.2">
      <c r="A2" t="s">
        <v>6</v>
      </c>
      <c r="B2">
        <v>30</v>
      </c>
      <c r="C2">
        <v>26</v>
      </c>
      <c r="D2">
        <v>56</v>
      </c>
      <c r="E2" s="41">
        <v>2000</v>
      </c>
      <c r="F2" s="43">
        <f t="shared" ref="F2:F33" si="0">D2/$T$63</f>
        <v>0.23931623931623933</v>
      </c>
      <c r="G2" s="22"/>
      <c r="K2" t="s">
        <v>6</v>
      </c>
      <c r="L2">
        <v>30</v>
      </c>
      <c r="M2">
        <v>26</v>
      </c>
      <c r="N2">
        <v>56</v>
      </c>
      <c r="O2" s="41">
        <v>2000</v>
      </c>
      <c r="P2" s="43">
        <f t="shared" ref="P2:P33" si="1">O2/$U$63</f>
        <v>5.7339449541284407E-2</v>
      </c>
      <c r="R2" s="45">
        <f t="shared" ref="R2:R33" si="2">P2-F2</f>
        <v>-0.18197678977495491</v>
      </c>
    </row>
    <row r="3" spans="1:18" x14ac:dyDescent="0.2">
      <c r="A3" t="s">
        <v>104</v>
      </c>
      <c r="B3">
        <v>7</v>
      </c>
      <c r="C3">
        <v>2</v>
      </c>
      <c r="D3">
        <v>9</v>
      </c>
      <c r="E3" s="22">
        <v>840</v>
      </c>
      <c r="F3" s="43">
        <f t="shared" si="0"/>
        <v>3.8461538461538464E-2</v>
      </c>
      <c r="G3" s="22"/>
      <c r="K3" t="s">
        <v>104</v>
      </c>
      <c r="L3">
        <v>7</v>
      </c>
      <c r="M3">
        <v>2</v>
      </c>
      <c r="N3">
        <v>9</v>
      </c>
      <c r="O3" s="22">
        <v>840</v>
      </c>
      <c r="P3" s="43">
        <f t="shared" si="1"/>
        <v>2.4082568807339451E-2</v>
      </c>
      <c r="R3" s="45">
        <f t="shared" si="2"/>
        <v>-1.4378969654199013E-2</v>
      </c>
    </row>
    <row r="4" spans="1:18" x14ac:dyDescent="0.2">
      <c r="A4" t="s">
        <v>121</v>
      </c>
      <c r="C4">
        <v>3</v>
      </c>
      <c r="D4">
        <v>3</v>
      </c>
      <c r="E4" s="22">
        <v>0</v>
      </c>
      <c r="F4" s="43">
        <f t="shared" si="0"/>
        <v>1.282051282051282E-2</v>
      </c>
      <c r="G4" s="22"/>
      <c r="K4" t="s">
        <v>121</v>
      </c>
      <c r="M4">
        <v>3</v>
      </c>
      <c r="N4">
        <v>3</v>
      </c>
      <c r="O4" s="22">
        <v>0</v>
      </c>
      <c r="P4" s="43">
        <f t="shared" si="1"/>
        <v>0</v>
      </c>
      <c r="R4" s="45">
        <f t="shared" si="2"/>
        <v>-1.282051282051282E-2</v>
      </c>
    </row>
    <row r="5" spans="1:18" x14ac:dyDescent="0.2">
      <c r="A5" t="s">
        <v>71</v>
      </c>
      <c r="B5">
        <v>4</v>
      </c>
      <c r="D5">
        <v>4</v>
      </c>
      <c r="E5" s="22">
        <v>150</v>
      </c>
      <c r="F5" s="43">
        <f t="shared" si="0"/>
        <v>1.7094017094017096E-2</v>
      </c>
      <c r="G5" s="22"/>
      <c r="K5" t="s">
        <v>71</v>
      </c>
      <c r="L5">
        <v>4</v>
      </c>
      <c r="N5">
        <v>4</v>
      </c>
      <c r="O5" s="22">
        <v>150</v>
      </c>
      <c r="P5" s="43">
        <f t="shared" si="1"/>
        <v>4.3004587155963305E-3</v>
      </c>
      <c r="R5" s="45">
        <f t="shared" si="2"/>
        <v>-1.2793558378420765E-2</v>
      </c>
    </row>
    <row r="6" spans="1:18" x14ac:dyDescent="0.2">
      <c r="A6" t="s">
        <v>101</v>
      </c>
      <c r="B6">
        <v>2</v>
      </c>
      <c r="C6">
        <v>3</v>
      </c>
      <c r="D6">
        <v>5</v>
      </c>
      <c r="E6" s="22">
        <v>300</v>
      </c>
      <c r="F6" s="43">
        <f t="shared" si="0"/>
        <v>2.1367521367521368E-2</v>
      </c>
      <c r="G6" s="22"/>
      <c r="K6" t="s">
        <v>101</v>
      </c>
      <c r="L6">
        <v>2</v>
      </c>
      <c r="M6">
        <v>3</v>
      </c>
      <c r="N6">
        <v>5</v>
      </c>
      <c r="O6" s="22">
        <v>300</v>
      </c>
      <c r="P6" s="43">
        <f t="shared" si="1"/>
        <v>8.600917431192661E-3</v>
      </c>
      <c r="R6" s="45">
        <f t="shared" si="2"/>
        <v>-1.2766603936328707E-2</v>
      </c>
    </row>
    <row r="7" spans="1:18" x14ac:dyDescent="0.2">
      <c r="A7" t="s">
        <v>79</v>
      </c>
      <c r="B7">
        <v>6</v>
      </c>
      <c r="C7">
        <v>4</v>
      </c>
      <c r="D7">
        <v>10</v>
      </c>
      <c r="E7" s="22">
        <v>1050</v>
      </c>
      <c r="F7" s="43">
        <f t="shared" si="0"/>
        <v>4.2735042735042736E-2</v>
      </c>
      <c r="G7" s="22"/>
      <c r="K7" t="s">
        <v>79</v>
      </c>
      <c r="L7">
        <v>6</v>
      </c>
      <c r="M7">
        <v>4</v>
      </c>
      <c r="N7">
        <v>10</v>
      </c>
      <c r="O7" s="22">
        <v>1050</v>
      </c>
      <c r="P7" s="43">
        <f t="shared" si="1"/>
        <v>3.0103211009174312E-2</v>
      </c>
      <c r="R7" s="45">
        <f t="shared" si="2"/>
        <v>-1.2631831725868424E-2</v>
      </c>
    </row>
    <row r="8" spans="1:18" x14ac:dyDescent="0.2">
      <c r="A8" t="s">
        <v>69</v>
      </c>
      <c r="B8">
        <v>8</v>
      </c>
      <c r="C8">
        <v>3</v>
      </c>
      <c r="D8">
        <v>11</v>
      </c>
      <c r="E8" s="22">
        <v>1200</v>
      </c>
      <c r="F8" s="43">
        <f t="shared" si="0"/>
        <v>4.7008547008547008E-2</v>
      </c>
      <c r="G8" s="22"/>
      <c r="K8" t="s">
        <v>69</v>
      </c>
      <c r="L8">
        <v>8</v>
      </c>
      <c r="M8">
        <v>3</v>
      </c>
      <c r="N8">
        <v>11</v>
      </c>
      <c r="O8" s="22">
        <v>1200</v>
      </c>
      <c r="P8" s="43">
        <f t="shared" si="1"/>
        <v>3.4403669724770644E-2</v>
      </c>
      <c r="R8" s="45">
        <f t="shared" si="2"/>
        <v>-1.2604877283776364E-2</v>
      </c>
    </row>
    <row r="9" spans="1:18" x14ac:dyDescent="0.2">
      <c r="A9" t="s">
        <v>78</v>
      </c>
      <c r="B9">
        <v>9</v>
      </c>
      <c r="C9">
        <v>3</v>
      </c>
      <c r="D9">
        <v>12</v>
      </c>
      <c r="E9" s="22">
        <v>1350</v>
      </c>
      <c r="F9" s="43">
        <f t="shared" si="0"/>
        <v>5.128205128205128E-2</v>
      </c>
      <c r="G9" s="22"/>
      <c r="K9" t="s">
        <v>78</v>
      </c>
      <c r="L9">
        <v>9</v>
      </c>
      <c r="M9">
        <v>3</v>
      </c>
      <c r="N9">
        <v>12</v>
      </c>
      <c r="O9" s="22">
        <v>1350</v>
      </c>
      <c r="P9" s="43">
        <f t="shared" si="1"/>
        <v>3.8704128440366969E-2</v>
      </c>
      <c r="R9" s="45">
        <f t="shared" si="2"/>
        <v>-1.2577922841684311E-2</v>
      </c>
    </row>
    <row r="10" spans="1:18" x14ac:dyDescent="0.2">
      <c r="A10" t="s">
        <v>75</v>
      </c>
      <c r="B10">
        <v>5</v>
      </c>
      <c r="C10">
        <v>2</v>
      </c>
      <c r="D10">
        <v>7</v>
      </c>
      <c r="E10" s="22">
        <v>700</v>
      </c>
      <c r="F10" s="43">
        <f t="shared" si="0"/>
        <v>2.9914529914529916E-2</v>
      </c>
      <c r="G10" s="22"/>
      <c r="K10" t="s">
        <v>75</v>
      </c>
      <c r="L10">
        <v>5</v>
      </c>
      <c r="M10">
        <v>2</v>
      </c>
      <c r="N10">
        <v>7</v>
      </c>
      <c r="O10" s="22">
        <v>700</v>
      </c>
      <c r="P10" s="43">
        <f t="shared" si="1"/>
        <v>2.0068807339449542E-2</v>
      </c>
      <c r="R10" s="45">
        <f t="shared" si="2"/>
        <v>-9.8457225750803734E-3</v>
      </c>
    </row>
    <row r="11" spans="1:18" x14ac:dyDescent="0.2">
      <c r="A11" t="s">
        <v>99</v>
      </c>
      <c r="B11">
        <v>1</v>
      </c>
      <c r="C11">
        <v>2</v>
      </c>
      <c r="D11">
        <v>3</v>
      </c>
      <c r="E11" s="22">
        <v>200</v>
      </c>
      <c r="F11" s="43">
        <f t="shared" si="0"/>
        <v>1.282051282051282E-2</v>
      </c>
      <c r="G11" s="22"/>
      <c r="K11" t="s">
        <v>99</v>
      </c>
      <c r="L11">
        <v>1</v>
      </c>
      <c r="M11">
        <v>2</v>
      </c>
      <c r="N11">
        <v>3</v>
      </c>
      <c r="O11" s="22">
        <v>200</v>
      </c>
      <c r="P11" s="43">
        <f t="shared" si="1"/>
        <v>5.7339449541284407E-3</v>
      </c>
      <c r="R11" s="45">
        <f t="shared" si="2"/>
        <v>-7.0865678663843794E-3</v>
      </c>
    </row>
    <row r="12" spans="1:18" x14ac:dyDescent="0.2">
      <c r="A12" t="s">
        <v>5</v>
      </c>
      <c r="B12">
        <v>2</v>
      </c>
      <c r="C12">
        <v>5</v>
      </c>
      <c r="D12">
        <v>7</v>
      </c>
      <c r="E12" s="22">
        <v>800</v>
      </c>
      <c r="F12" s="43">
        <f t="shared" si="0"/>
        <v>2.9914529914529916E-2</v>
      </c>
      <c r="G12" s="22"/>
      <c r="K12" t="s">
        <v>5</v>
      </c>
      <c r="L12">
        <v>2</v>
      </c>
      <c r="M12">
        <v>5</v>
      </c>
      <c r="N12">
        <v>7</v>
      </c>
      <c r="O12" s="22">
        <v>800</v>
      </c>
      <c r="P12" s="43">
        <f t="shared" si="1"/>
        <v>2.2935779816513763E-2</v>
      </c>
      <c r="R12" s="45">
        <f t="shared" si="2"/>
        <v>-6.9787500980161531E-3</v>
      </c>
    </row>
    <row r="13" spans="1:18" x14ac:dyDescent="0.2">
      <c r="A13" t="s">
        <v>136</v>
      </c>
      <c r="B13">
        <v>1</v>
      </c>
      <c r="D13">
        <v>1</v>
      </c>
      <c r="E13" s="22">
        <v>0</v>
      </c>
      <c r="F13" s="43">
        <f t="shared" si="0"/>
        <v>4.2735042735042739E-3</v>
      </c>
      <c r="G13" s="22"/>
      <c r="K13" t="s">
        <v>136</v>
      </c>
      <c r="L13">
        <v>1</v>
      </c>
      <c r="N13">
        <v>1</v>
      </c>
      <c r="O13" s="22">
        <v>0</v>
      </c>
      <c r="P13" s="43">
        <f t="shared" si="1"/>
        <v>0</v>
      </c>
      <c r="R13" s="45">
        <f t="shared" si="2"/>
        <v>-4.2735042735042739E-3</v>
      </c>
    </row>
    <row r="14" spans="1:18" x14ac:dyDescent="0.2">
      <c r="A14" t="s">
        <v>114</v>
      </c>
      <c r="B14">
        <v>1</v>
      </c>
      <c r="D14">
        <v>1</v>
      </c>
      <c r="E14" s="22">
        <v>0</v>
      </c>
      <c r="F14" s="43">
        <f t="shared" si="0"/>
        <v>4.2735042735042739E-3</v>
      </c>
      <c r="G14" s="22"/>
      <c r="K14" t="s">
        <v>114</v>
      </c>
      <c r="L14">
        <v>1</v>
      </c>
      <c r="N14">
        <v>1</v>
      </c>
      <c r="O14" s="22">
        <v>0</v>
      </c>
      <c r="P14" s="43">
        <f t="shared" si="1"/>
        <v>0</v>
      </c>
      <c r="R14" s="45">
        <f t="shared" si="2"/>
        <v>-4.2735042735042739E-3</v>
      </c>
    </row>
    <row r="15" spans="1:18" x14ac:dyDescent="0.2">
      <c r="A15" t="s">
        <v>68</v>
      </c>
      <c r="C15">
        <v>1</v>
      </c>
      <c r="D15">
        <v>1</v>
      </c>
      <c r="E15" s="22">
        <v>0</v>
      </c>
      <c r="F15" s="43">
        <f t="shared" si="0"/>
        <v>4.2735042735042739E-3</v>
      </c>
      <c r="G15" s="22"/>
      <c r="K15" t="s">
        <v>68</v>
      </c>
      <c r="M15">
        <v>1</v>
      </c>
      <c r="N15">
        <v>1</v>
      </c>
      <c r="O15" s="22">
        <v>0</v>
      </c>
      <c r="P15" s="43">
        <f t="shared" si="1"/>
        <v>0</v>
      </c>
      <c r="R15" s="45">
        <f t="shared" si="2"/>
        <v>-4.2735042735042739E-3</v>
      </c>
    </row>
    <row r="16" spans="1:18" x14ac:dyDescent="0.2">
      <c r="A16" t="s">
        <v>92</v>
      </c>
      <c r="C16">
        <v>1</v>
      </c>
      <c r="D16">
        <v>1</v>
      </c>
      <c r="E16" s="22">
        <v>0</v>
      </c>
      <c r="F16" s="43">
        <f t="shared" si="0"/>
        <v>4.2735042735042739E-3</v>
      </c>
      <c r="G16" s="22"/>
      <c r="K16" t="s">
        <v>92</v>
      </c>
      <c r="M16">
        <v>1</v>
      </c>
      <c r="N16">
        <v>1</v>
      </c>
      <c r="O16" s="22">
        <v>0</v>
      </c>
      <c r="P16" s="43">
        <f t="shared" si="1"/>
        <v>0</v>
      </c>
      <c r="R16" s="45">
        <f t="shared" si="2"/>
        <v>-4.2735042735042739E-3</v>
      </c>
    </row>
    <row r="17" spans="1:18" x14ac:dyDescent="0.2">
      <c r="A17" t="s">
        <v>102</v>
      </c>
      <c r="C17">
        <v>1</v>
      </c>
      <c r="D17">
        <v>1</v>
      </c>
      <c r="E17" s="22">
        <v>0</v>
      </c>
      <c r="F17" s="43">
        <f t="shared" si="0"/>
        <v>4.2735042735042739E-3</v>
      </c>
      <c r="G17" s="22"/>
      <c r="K17" t="s">
        <v>102</v>
      </c>
      <c r="M17">
        <v>1</v>
      </c>
      <c r="N17">
        <v>1</v>
      </c>
      <c r="O17" s="22">
        <v>0</v>
      </c>
      <c r="P17" s="43">
        <f t="shared" si="1"/>
        <v>0</v>
      </c>
      <c r="R17" s="45">
        <f t="shared" si="2"/>
        <v>-4.2735042735042739E-3</v>
      </c>
    </row>
    <row r="18" spans="1:18" x14ac:dyDescent="0.2">
      <c r="A18" t="s">
        <v>2</v>
      </c>
      <c r="C18">
        <v>1</v>
      </c>
      <c r="D18">
        <v>1</v>
      </c>
      <c r="E18" s="22">
        <v>0</v>
      </c>
      <c r="F18" s="43">
        <f t="shared" si="0"/>
        <v>4.2735042735042739E-3</v>
      </c>
      <c r="G18" s="22"/>
      <c r="K18" t="s">
        <v>2</v>
      </c>
      <c r="M18">
        <v>1</v>
      </c>
      <c r="N18">
        <v>1</v>
      </c>
      <c r="O18" s="22">
        <v>0</v>
      </c>
      <c r="P18" s="43">
        <f t="shared" si="1"/>
        <v>0</v>
      </c>
      <c r="R18" s="45">
        <f t="shared" si="2"/>
        <v>-4.2735042735042739E-3</v>
      </c>
    </row>
    <row r="19" spans="1:18" x14ac:dyDescent="0.2">
      <c r="A19" t="s">
        <v>94</v>
      </c>
      <c r="C19">
        <v>1</v>
      </c>
      <c r="D19">
        <v>1</v>
      </c>
      <c r="E19" s="22">
        <v>0</v>
      </c>
      <c r="F19" s="43">
        <f t="shared" si="0"/>
        <v>4.2735042735042739E-3</v>
      </c>
      <c r="G19" s="22"/>
      <c r="K19" t="s">
        <v>94</v>
      </c>
      <c r="M19">
        <v>1</v>
      </c>
      <c r="N19">
        <v>1</v>
      </c>
      <c r="O19" s="22">
        <v>0</v>
      </c>
      <c r="P19" s="43">
        <f t="shared" si="1"/>
        <v>0</v>
      </c>
      <c r="R19" s="45">
        <f t="shared" si="2"/>
        <v>-4.2735042735042739E-3</v>
      </c>
    </row>
    <row r="20" spans="1:18" x14ac:dyDescent="0.2">
      <c r="A20" t="s">
        <v>113</v>
      </c>
      <c r="C20">
        <v>1</v>
      </c>
      <c r="D20">
        <v>1</v>
      </c>
      <c r="E20" s="22">
        <v>0</v>
      </c>
      <c r="F20" s="43">
        <f t="shared" si="0"/>
        <v>4.2735042735042739E-3</v>
      </c>
      <c r="G20" s="22"/>
      <c r="K20" t="s">
        <v>113</v>
      </c>
      <c r="M20">
        <v>1</v>
      </c>
      <c r="N20">
        <v>1</v>
      </c>
      <c r="O20" s="22">
        <v>0</v>
      </c>
      <c r="P20" s="43">
        <f t="shared" si="1"/>
        <v>0</v>
      </c>
      <c r="R20" s="45">
        <f t="shared" si="2"/>
        <v>-4.2735042735042739E-3</v>
      </c>
    </row>
    <row r="21" spans="1:18" x14ac:dyDescent="0.2">
      <c r="A21" t="s">
        <v>135</v>
      </c>
      <c r="B21">
        <v>1</v>
      </c>
      <c r="D21">
        <v>1</v>
      </c>
      <c r="E21" s="22">
        <v>0</v>
      </c>
      <c r="F21" s="43">
        <f t="shared" si="0"/>
        <v>4.2735042735042739E-3</v>
      </c>
      <c r="G21" s="22"/>
      <c r="K21" t="s">
        <v>135</v>
      </c>
      <c r="L21">
        <v>1</v>
      </c>
      <c r="N21">
        <v>1</v>
      </c>
      <c r="O21" s="22">
        <v>0</v>
      </c>
      <c r="P21" s="43">
        <f t="shared" si="1"/>
        <v>0</v>
      </c>
      <c r="R21" s="45">
        <f t="shared" si="2"/>
        <v>-4.2735042735042739E-3</v>
      </c>
    </row>
    <row r="22" spans="1:18" x14ac:dyDescent="0.2">
      <c r="A22" t="s">
        <v>82</v>
      </c>
      <c r="C22">
        <v>1</v>
      </c>
      <c r="D22">
        <v>1</v>
      </c>
      <c r="E22" s="22">
        <v>0</v>
      </c>
      <c r="F22" s="43">
        <f t="shared" si="0"/>
        <v>4.2735042735042739E-3</v>
      </c>
      <c r="G22" s="22"/>
      <c r="K22" t="s">
        <v>82</v>
      </c>
      <c r="M22">
        <v>1</v>
      </c>
      <c r="N22">
        <v>1</v>
      </c>
      <c r="O22" s="22">
        <v>0</v>
      </c>
      <c r="P22" s="43">
        <f t="shared" si="1"/>
        <v>0</v>
      </c>
      <c r="R22" s="45">
        <f t="shared" si="2"/>
        <v>-4.2735042735042739E-3</v>
      </c>
    </row>
    <row r="23" spans="1:18" x14ac:dyDescent="0.2">
      <c r="A23" t="s">
        <v>109</v>
      </c>
      <c r="C23">
        <v>1</v>
      </c>
      <c r="D23">
        <v>1</v>
      </c>
      <c r="E23" s="22">
        <v>0</v>
      </c>
      <c r="F23" s="43">
        <f t="shared" si="0"/>
        <v>4.2735042735042739E-3</v>
      </c>
      <c r="G23" s="22"/>
      <c r="K23" t="s">
        <v>109</v>
      </c>
      <c r="M23">
        <v>1</v>
      </c>
      <c r="N23">
        <v>1</v>
      </c>
      <c r="O23" s="22">
        <v>0</v>
      </c>
      <c r="P23" s="43">
        <f t="shared" si="1"/>
        <v>0</v>
      </c>
      <c r="R23" s="45">
        <f t="shared" si="2"/>
        <v>-4.2735042735042739E-3</v>
      </c>
    </row>
    <row r="24" spans="1:18" x14ac:dyDescent="0.2">
      <c r="A24" t="s">
        <v>143</v>
      </c>
      <c r="C24">
        <v>1</v>
      </c>
      <c r="D24">
        <v>1</v>
      </c>
      <c r="E24" s="22">
        <v>0</v>
      </c>
      <c r="F24" s="43">
        <f t="shared" si="0"/>
        <v>4.2735042735042739E-3</v>
      </c>
      <c r="G24" s="22"/>
      <c r="K24" t="s">
        <v>143</v>
      </c>
      <c r="M24">
        <v>1</v>
      </c>
      <c r="N24">
        <v>1</v>
      </c>
      <c r="O24" s="22">
        <v>0</v>
      </c>
      <c r="P24" s="43">
        <f t="shared" si="1"/>
        <v>0</v>
      </c>
      <c r="R24" s="45">
        <f t="shared" si="2"/>
        <v>-4.2735042735042739E-3</v>
      </c>
    </row>
    <row r="25" spans="1:18" x14ac:dyDescent="0.2">
      <c r="A25" t="s">
        <v>72</v>
      </c>
      <c r="B25">
        <v>5</v>
      </c>
      <c r="C25">
        <v>1</v>
      </c>
      <c r="D25">
        <v>6</v>
      </c>
      <c r="E25" s="22">
        <v>750</v>
      </c>
      <c r="F25" s="43">
        <f t="shared" si="0"/>
        <v>2.564102564102564E-2</v>
      </c>
      <c r="G25" s="22"/>
      <c r="K25" t="s">
        <v>72</v>
      </c>
      <c r="L25">
        <v>5</v>
      </c>
      <c r="M25">
        <v>1</v>
      </c>
      <c r="N25">
        <v>6</v>
      </c>
      <c r="O25" s="22">
        <v>750</v>
      </c>
      <c r="P25" s="43">
        <f t="shared" si="1"/>
        <v>2.1502293577981651E-2</v>
      </c>
      <c r="R25" s="45">
        <f t="shared" si="2"/>
        <v>-4.1387320630439893E-3</v>
      </c>
    </row>
    <row r="26" spans="1:18" x14ac:dyDescent="0.2">
      <c r="A26" t="s">
        <v>95</v>
      </c>
      <c r="B26">
        <v>1</v>
      </c>
      <c r="C26">
        <v>1</v>
      </c>
      <c r="D26">
        <v>2</v>
      </c>
      <c r="E26" s="22">
        <v>160</v>
      </c>
      <c r="F26" s="43">
        <f t="shared" si="0"/>
        <v>8.5470085470085479E-3</v>
      </c>
      <c r="G26" s="22"/>
      <c r="K26" t="s">
        <v>95</v>
      </c>
      <c r="L26">
        <v>1</v>
      </c>
      <c r="M26">
        <v>1</v>
      </c>
      <c r="N26">
        <v>2</v>
      </c>
      <c r="O26" s="22">
        <v>160</v>
      </c>
      <c r="P26" s="43">
        <f t="shared" si="1"/>
        <v>4.5871559633027525E-3</v>
      </c>
      <c r="R26" s="45">
        <f t="shared" si="2"/>
        <v>-3.9598525837057953E-3</v>
      </c>
    </row>
    <row r="27" spans="1:18" x14ac:dyDescent="0.2">
      <c r="A27" t="s">
        <v>80</v>
      </c>
      <c r="B27">
        <v>1</v>
      </c>
      <c r="D27">
        <v>1</v>
      </c>
      <c r="E27" s="22">
        <v>100</v>
      </c>
      <c r="F27" s="43">
        <f t="shared" si="0"/>
        <v>4.2735042735042739E-3</v>
      </c>
      <c r="G27" s="22"/>
      <c r="K27" t="s">
        <v>80</v>
      </c>
      <c r="L27">
        <v>1</v>
      </c>
      <c r="N27">
        <v>1</v>
      </c>
      <c r="O27" s="22">
        <v>100</v>
      </c>
      <c r="P27" s="43">
        <f t="shared" si="1"/>
        <v>2.8669724770642203E-3</v>
      </c>
      <c r="R27" s="45">
        <f t="shared" si="2"/>
        <v>-1.4065317964400536E-3</v>
      </c>
    </row>
    <row r="28" spans="1:18" x14ac:dyDescent="0.2">
      <c r="A28" t="s">
        <v>89</v>
      </c>
      <c r="B28">
        <v>1</v>
      </c>
      <c r="C28">
        <v>1</v>
      </c>
      <c r="D28">
        <v>2</v>
      </c>
      <c r="E28" s="22">
        <v>250</v>
      </c>
      <c r="F28" s="43">
        <f t="shared" si="0"/>
        <v>8.5470085470085479E-3</v>
      </c>
      <c r="G28" s="22"/>
      <c r="K28" t="s">
        <v>89</v>
      </c>
      <c r="L28">
        <v>1</v>
      </c>
      <c r="M28">
        <v>1</v>
      </c>
      <c r="N28">
        <v>2</v>
      </c>
      <c r="O28" s="22">
        <v>250</v>
      </c>
      <c r="P28" s="43">
        <f t="shared" si="1"/>
        <v>7.1674311926605509E-3</v>
      </c>
      <c r="R28" s="45">
        <f t="shared" si="2"/>
        <v>-1.379577354347997E-3</v>
      </c>
    </row>
    <row r="29" spans="1:18" x14ac:dyDescent="0.2">
      <c r="A29" t="s">
        <v>134</v>
      </c>
      <c r="B29">
        <v>1</v>
      </c>
      <c r="D29">
        <v>1</v>
      </c>
      <c r="E29" s="22">
        <v>120</v>
      </c>
      <c r="F29" s="43">
        <f t="shared" si="0"/>
        <v>4.2735042735042739E-3</v>
      </c>
      <c r="G29" s="22"/>
      <c r="K29" t="s">
        <v>134</v>
      </c>
      <c r="L29">
        <v>1</v>
      </c>
      <c r="N29">
        <v>1</v>
      </c>
      <c r="O29" s="22">
        <v>120</v>
      </c>
      <c r="P29" s="43">
        <f t="shared" si="1"/>
        <v>3.4403669724770644E-3</v>
      </c>
      <c r="R29" s="45">
        <f t="shared" si="2"/>
        <v>-8.3313730102720952E-4</v>
      </c>
    </row>
    <row r="30" spans="1:18" x14ac:dyDescent="0.2">
      <c r="A30" t="s">
        <v>93</v>
      </c>
      <c r="B30">
        <v>2</v>
      </c>
      <c r="C30">
        <v>1</v>
      </c>
      <c r="D30">
        <v>3</v>
      </c>
      <c r="E30" s="22">
        <v>440</v>
      </c>
      <c r="F30" s="43">
        <f t="shared" si="0"/>
        <v>1.282051282051282E-2</v>
      </c>
      <c r="G30" s="22"/>
      <c r="K30" t="s">
        <v>93</v>
      </c>
      <c r="L30">
        <v>2</v>
      </c>
      <c r="M30">
        <v>1</v>
      </c>
      <c r="N30">
        <v>3</v>
      </c>
      <c r="O30" s="22">
        <v>440</v>
      </c>
      <c r="P30" s="43">
        <f t="shared" si="1"/>
        <v>1.261467889908257E-2</v>
      </c>
      <c r="R30" s="45">
        <f t="shared" si="2"/>
        <v>-2.0583392143025056E-4</v>
      </c>
    </row>
    <row r="31" spans="1:18" x14ac:dyDescent="0.2">
      <c r="A31" t="s">
        <v>100</v>
      </c>
      <c r="B31">
        <v>1</v>
      </c>
      <c r="D31">
        <v>1</v>
      </c>
      <c r="E31" s="22">
        <v>150</v>
      </c>
      <c r="F31" s="43">
        <f t="shared" si="0"/>
        <v>4.2735042735042739E-3</v>
      </c>
      <c r="G31" s="22"/>
      <c r="K31" t="s">
        <v>100</v>
      </c>
      <c r="L31">
        <v>1</v>
      </c>
      <c r="N31">
        <v>1</v>
      </c>
      <c r="O31" s="22">
        <v>150</v>
      </c>
      <c r="P31" s="43">
        <f t="shared" si="1"/>
        <v>4.3004587155963305E-3</v>
      </c>
      <c r="R31" s="45">
        <f t="shared" si="2"/>
        <v>2.695444209205658E-5</v>
      </c>
    </row>
    <row r="32" spans="1:18" x14ac:dyDescent="0.2">
      <c r="A32" t="s">
        <v>30</v>
      </c>
      <c r="B32">
        <v>1</v>
      </c>
      <c r="D32">
        <v>1</v>
      </c>
      <c r="E32" s="22">
        <v>150</v>
      </c>
      <c r="F32" s="43">
        <f t="shared" si="0"/>
        <v>4.2735042735042739E-3</v>
      </c>
      <c r="G32" s="22"/>
      <c r="K32" t="s">
        <v>30</v>
      </c>
      <c r="L32">
        <v>1</v>
      </c>
      <c r="N32">
        <v>1</v>
      </c>
      <c r="O32" s="22">
        <v>150</v>
      </c>
      <c r="P32" s="43">
        <f t="shared" si="1"/>
        <v>4.3004587155963305E-3</v>
      </c>
      <c r="R32" s="45">
        <f t="shared" si="2"/>
        <v>2.695444209205658E-5</v>
      </c>
    </row>
    <row r="33" spans="1:18" x14ac:dyDescent="0.2">
      <c r="A33" t="s">
        <v>132</v>
      </c>
      <c r="B33">
        <v>1</v>
      </c>
      <c r="D33">
        <v>1</v>
      </c>
      <c r="E33" s="22">
        <v>150</v>
      </c>
      <c r="F33" s="43">
        <f t="shared" si="0"/>
        <v>4.2735042735042739E-3</v>
      </c>
      <c r="G33" s="22"/>
      <c r="K33" t="s">
        <v>132</v>
      </c>
      <c r="L33">
        <v>1</v>
      </c>
      <c r="N33">
        <v>1</v>
      </c>
      <c r="O33" s="22">
        <v>150</v>
      </c>
      <c r="P33" s="43">
        <f t="shared" si="1"/>
        <v>4.3004587155963305E-3</v>
      </c>
      <c r="R33" s="45">
        <f t="shared" si="2"/>
        <v>2.695444209205658E-5</v>
      </c>
    </row>
    <row r="34" spans="1:18" x14ac:dyDescent="0.2">
      <c r="A34" t="s">
        <v>131</v>
      </c>
      <c r="B34">
        <v>1</v>
      </c>
      <c r="C34">
        <v>1</v>
      </c>
      <c r="D34">
        <v>2</v>
      </c>
      <c r="E34" s="22">
        <v>300</v>
      </c>
      <c r="F34" s="43">
        <f t="shared" ref="F34:F62" si="3">D34/$T$63</f>
        <v>8.5470085470085479E-3</v>
      </c>
      <c r="G34" s="22"/>
      <c r="K34" t="s">
        <v>131</v>
      </c>
      <c r="L34">
        <v>1</v>
      </c>
      <c r="M34">
        <v>1</v>
      </c>
      <c r="N34">
        <v>2</v>
      </c>
      <c r="O34" s="22">
        <v>300</v>
      </c>
      <c r="P34" s="43">
        <f t="shared" ref="P34:P62" si="4">O34/$U$63</f>
        <v>8.600917431192661E-3</v>
      </c>
      <c r="R34" s="45">
        <f t="shared" ref="R34:R62" si="5">P34-F34</f>
        <v>5.3908884184113159E-5</v>
      </c>
    </row>
    <row r="35" spans="1:18" x14ac:dyDescent="0.2">
      <c r="A35" t="s">
        <v>140</v>
      </c>
      <c r="B35">
        <v>2</v>
      </c>
      <c r="D35">
        <v>2</v>
      </c>
      <c r="E35" s="22">
        <v>300</v>
      </c>
      <c r="F35" s="43">
        <f t="shared" si="3"/>
        <v>8.5470085470085479E-3</v>
      </c>
      <c r="G35" s="22"/>
      <c r="K35" t="s">
        <v>140</v>
      </c>
      <c r="L35">
        <v>2</v>
      </c>
      <c r="N35">
        <v>2</v>
      </c>
      <c r="O35" s="22">
        <v>300</v>
      </c>
      <c r="P35" s="43">
        <f t="shared" si="4"/>
        <v>8.600917431192661E-3</v>
      </c>
      <c r="R35" s="45">
        <f t="shared" si="5"/>
        <v>5.3908884184113159E-5</v>
      </c>
    </row>
    <row r="36" spans="1:18" x14ac:dyDescent="0.2">
      <c r="A36" t="s">
        <v>83</v>
      </c>
      <c r="B36">
        <v>3</v>
      </c>
      <c r="D36">
        <v>3</v>
      </c>
      <c r="E36" s="22">
        <v>450</v>
      </c>
      <c r="F36" s="43">
        <f t="shared" si="3"/>
        <v>1.282051282051282E-2</v>
      </c>
      <c r="G36" s="22"/>
      <c r="K36" t="s">
        <v>83</v>
      </c>
      <c r="L36">
        <v>3</v>
      </c>
      <c r="N36">
        <v>3</v>
      </c>
      <c r="O36" s="22">
        <v>450</v>
      </c>
      <c r="P36" s="43">
        <f t="shared" si="4"/>
        <v>1.2901376146788992E-2</v>
      </c>
      <c r="R36" s="45">
        <f t="shared" si="5"/>
        <v>8.0863326276171474E-5</v>
      </c>
    </row>
    <row r="37" spans="1:18" x14ac:dyDescent="0.2">
      <c r="A37" t="s">
        <v>1</v>
      </c>
      <c r="B37">
        <v>4</v>
      </c>
      <c r="D37">
        <v>4</v>
      </c>
      <c r="E37" s="22">
        <v>600</v>
      </c>
      <c r="F37" s="43">
        <f t="shared" si="3"/>
        <v>1.7094017094017096E-2</v>
      </c>
      <c r="G37" s="22"/>
      <c r="K37" t="s">
        <v>1</v>
      </c>
      <c r="L37">
        <v>4</v>
      </c>
      <c r="N37">
        <v>4</v>
      </c>
      <c r="O37" s="22">
        <v>600</v>
      </c>
      <c r="P37" s="43">
        <f t="shared" si="4"/>
        <v>1.7201834862385322E-2</v>
      </c>
      <c r="R37" s="45">
        <f t="shared" si="5"/>
        <v>1.0781776836822632E-4</v>
      </c>
    </row>
    <row r="38" spans="1:18" x14ac:dyDescent="0.2">
      <c r="A38" t="s">
        <v>91</v>
      </c>
      <c r="C38">
        <v>1</v>
      </c>
      <c r="D38">
        <v>1</v>
      </c>
      <c r="E38" s="22">
        <v>200</v>
      </c>
      <c r="F38" s="43">
        <f t="shared" si="3"/>
        <v>4.2735042735042739E-3</v>
      </c>
      <c r="G38" s="22"/>
      <c r="K38" t="s">
        <v>91</v>
      </c>
      <c r="M38">
        <v>1</v>
      </c>
      <c r="N38">
        <v>1</v>
      </c>
      <c r="O38" s="22">
        <v>200</v>
      </c>
      <c r="P38" s="43">
        <f t="shared" si="4"/>
        <v>5.7339449541284407E-3</v>
      </c>
      <c r="R38" s="45">
        <f t="shared" si="5"/>
        <v>1.4604406806241668E-3</v>
      </c>
    </row>
    <row r="39" spans="1:18" x14ac:dyDescent="0.2">
      <c r="A39" t="s">
        <v>127</v>
      </c>
      <c r="B39">
        <v>1</v>
      </c>
      <c r="C39">
        <v>1</v>
      </c>
      <c r="D39">
        <v>2</v>
      </c>
      <c r="E39" s="22">
        <v>350</v>
      </c>
      <c r="F39" s="43">
        <f t="shared" si="3"/>
        <v>8.5470085470085479E-3</v>
      </c>
      <c r="G39" s="22"/>
      <c r="K39" t="s">
        <v>127</v>
      </c>
      <c r="L39">
        <v>1</v>
      </c>
      <c r="M39">
        <v>1</v>
      </c>
      <c r="N39">
        <v>2</v>
      </c>
      <c r="O39" s="22">
        <v>350</v>
      </c>
      <c r="P39" s="43">
        <f t="shared" si="4"/>
        <v>1.0034403669724771E-2</v>
      </c>
      <c r="R39" s="45">
        <f t="shared" si="5"/>
        <v>1.4873951227162233E-3</v>
      </c>
    </row>
    <row r="40" spans="1:18" x14ac:dyDescent="0.2">
      <c r="A40" t="s">
        <v>73</v>
      </c>
      <c r="B40">
        <v>1</v>
      </c>
      <c r="C40">
        <v>1</v>
      </c>
      <c r="D40">
        <v>2</v>
      </c>
      <c r="E40" s="22">
        <v>350</v>
      </c>
      <c r="F40" s="43">
        <f t="shared" si="3"/>
        <v>8.5470085470085479E-3</v>
      </c>
      <c r="G40" s="22"/>
      <c r="K40" t="s">
        <v>73</v>
      </c>
      <c r="L40">
        <v>1</v>
      </c>
      <c r="M40">
        <v>1</v>
      </c>
      <c r="N40">
        <v>2</v>
      </c>
      <c r="O40" s="22">
        <v>350</v>
      </c>
      <c r="P40" s="43">
        <f t="shared" si="4"/>
        <v>1.0034403669724771E-2</v>
      </c>
      <c r="R40" s="45">
        <f t="shared" si="5"/>
        <v>1.4873951227162233E-3</v>
      </c>
    </row>
    <row r="41" spans="1:18" x14ac:dyDescent="0.2">
      <c r="A41" t="s">
        <v>4</v>
      </c>
      <c r="B41">
        <v>5</v>
      </c>
      <c r="C41">
        <v>2</v>
      </c>
      <c r="D41">
        <v>7</v>
      </c>
      <c r="E41" s="22">
        <v>1120</v>
      </c>
      <c r="F41" s="43">
        <f t="shared" si="3"/>
        <v>2.9914529914529916E-2</v>
      </c>
      <c r="G41" s="22"/>
      <c r="K41" t="s">
        <v>4</v>
      </c>
      <c r="L41">
        <v>5</v>
      </c>
      <c r="M41">
        <v>2</v>
      </c>
      <c r="N41">
        <v>7</v>
      </c>
      <c r="O41" s="22">
        <v>1120</v>
      </c>
      <c r="P41" s="43">
        <f t="shared" si="4"/>
        <v>3.2110091743119268E-2</v>
      </c>
      <c r="R41" s="45">
        <f t="shared" si="5"/>
        <v>2.195561828589352E-3</v>
      </c>
    </row>
    <row r="42" spans="1:18" x14ac:dyDescent="0.2">
      <c r="A42" t="s">
        <v>146</v>
      </c>
      <c r="C42">
        <v>1</v>
      </c>
      <c r="D42">
        <v>1</v>
      </c>
      <c r="E42" s="22">
        <v>250</v>
      </c>
      <c r="F42" s="43">
        <f t="shared" si="3"/>
        <v>4.2735042735042739E-3</v>
      </c>
      <c r="G42" s="22"/>
      <c r="K42" t="s">
        <v>146</v>
      </c>
      <c r="M42">
        <v>1</v>
      </c>
      <c r="N42">
        <v>1</v>
      </c>
      <c r="O42" s="22">
        <v>250</v>
      </c>
      <c r="P42" s="43">
        <f t="shared" si="4"/>
        <v>7.1674311926605509E-3</v>
      </c>
      <c r="R42" s="45">
        <f t="shared" si="5"/>
        <v>2.8939269191562769E-3</v>
      </c>
    </row>
    <row r="43" spans="1:18" x14ac:dyDescent="0.2">
      <c r="A43" t="s">
        <v>96</v>
      </c>
      <c r="B43">
        <v>1</v>
      </c>
      <c r="D43">
        <v>1</v>
      </c>
      <c r="E43" s="22">
        <v>250</v>
      </c>
      <c r="F43" s="43">
        <f t="shared" si="3"/>
        <v>4.2735042735042739E-3</v>
      </c>
      <c r="G43" s="22"/>
      <c r="K43" t="s">
        <v>96</v>
      </c>
      <c r="L43">
        <v>1</v>
      </c>
      <c r="N43">
        <v>1</v>
      </c>
      <c r="O43" s="22">
        <v>250</v>
      </c>
      <c r="P43" s="43">
        <f t="shared" si="4"/>
        <v>7.1674311926605509E-3</v>
      </c>
      <c r="R43" s="45">
        <f t="shared" si="5"/>
        <v>2.8939269191562769E-3</v>
      </c>
    </row>
    <row r="44" spans="1:18" x14ac:dyDescent="0.2">
      <c r="A44" t="s">
        <v>147</v>
      </c>
      <c r="B44">
        <v>1</v>
      </c>
      <c r="D44">
        <v>1</v>
      </c>
      <c r="E44" s="22">
        <v>300</v>
      </c>
      <c r="F44" s="43">
        <f t="shared" si="3"/>
        <v>4.2735042735042739E-3</v>
      </c>
      <c r="G44" s="22"/>
      <c r="K44" t="s">
        <v>147</v>
      </c>
      <c r="L44">
        <v>1</v>
      </c>
      <c r="N44">
        <v>1</v>
      </c>
      <c r="O44" s="22">
        <v>300</v>
      </c>
      <c r="P44" s="43">
        <f t="shared" si="4"/>
        <v>8.600917431192661E-3</v>
      </c>
      <c r="R44" s="45">
        <f t="shared" si="5"/>
        <v>4.3274131576883871E-3</v>
      </c>
    </row>
    <row r="45" spans="1:18" x14ac:dyDescent="0.2">
      <c r="A45" t="s">
        <v>3</v>
      </c>
      <c r="B45">
        <v>1</v>
      </c>
      <c r="C45">
        <v>1</v>
      </c>
      <c r="D45">
        <v>2</v>
      </c>
      <c r="E45" s="22">
        <v>450</v>
      </c>
      <c r="F45" s="43">
        <f t="shared" si="3"/>
        <v>8.5470085470085479E-3</v>
      </c>
      <c r="G45" s="22"/>
      <c r="K45" t="s">
        <v>3</v>
      </c>
      <c r="L45">
        <v>1</v>
      </c>
      <c r="M45">
        <v>1</v>
      </c>
      <c r="N45">
        <v>2</v>
      </c>
      <c r="O45" s="22">
        <v>450</v>
      </c>
      <c r="P45" s="43">
        <f t="shared" si="4"/>
        <v>1.2901376146788992E-2</v>
      </c>
      <c r="R45" s="45">
        <f t="shared" si="5"/>
        <v>4.3543675997804437E-3</v>
      </c>
    </row>
    <row r="46" spans="1:18" x14ac:dyDescent="0.2">
      <c r="A46" t="s">
        <v>77</v>
      </c>
      <c r="B46">
        <v>1</v>
      </c>
      <c r="C46">
        <v>1</v>
      </c>
      <c r="D46">
        <v>2</v>
      </c>
      <c r="E46" s="22">
        <v>450</v>
      </c>
      <c r="F46" s="43">
        <f t="shared" si="3"/>
        <v>8.5470085470085479E-3</v>
      </c>
      <c r="G46" s="22"/>
      <c r="K46" t="s">
        <v>77</v>
      </c>
      <c r="L46">
        <v>1</v>
      </c>
      <c r="M46">
        <v>1</v>
      </c>
      <c r="N46">
        <v>2</v>
      </c>
      <c r="O46" s="22">
        <v>450</v>
      </c>
      <c r="P46" s="43">
        <f t="shared" si="4"/>
        <v>1.2901376146788992E-2</v>
      </c>
      <c r="R46" s="45">
        <f t="shared" si="5"/>
        <v>4.3543675997804437E-3</v>
      </c>
    </row>
    <row r="47" spans="1:18" x14ac:dyDescent="0.2">
      <c r="A47" t="s">
        <v>142</v>
      </c>
      <c r="B47">
        <v>1</v>
      </c>
      <c r="D47">
        <v>1</v>
      </c>
      <c r="E47" s="22">
        <v>350</v>
      </c>
      <c r="F47" s="43">
        <f t="shared" si="3"/>
        <v>4.2735042735042739E-3</v>
      </c>
      <c r="G47" s="22"/>
      <c r="K47" t="s">
        <v>142</v>
      </c>
      <c r="L47">
        <v>1</v>
      </c>
      <c r="N47">
        <v>1</v>
      </c>
      <c r="O47" s="22">
        <v>350</v>
      </c>
      <c r="P47" s="43">
        <f t="shared" si="4"/>
        <v>1.0034403669724771E-2</v>
      </c>
      <c r="R47" s="45">
        <f t="shared" si="5"/>
        <v>5.7608993962204973E-3</v>
      </c>
    </row>
    <row r="48" spans="1:18" x14ac:dyDescent="0.2">
      <c r="A48" t="s">
        <v>107</v>
      </c>
      <c r="B48">
        <v>4</v>
      </c>
      <c r="D48">
        <v>4</v>
      </c>
      <c r="E48" s="22">
        <v>800</v>
      </c>
      <c r="F48" s="43">
        <f t="shared" si="3"/>
        <v>1.7094017094017096E-2</v>
      </c>
      <c r="G48" s="22"/>
      <c r="K48" t="s">
        <v>107</v>
      </c>
      <c r="L48">
        <v>4</v>
      </c>
      <c r="N48">
        <v>4</v>
      </c>
      <c r="O48" s="22">
        <v>800</v>
      </c>
      <c r="P48" s="43">
        <f t="shared" si="4"/>
        <v>2.2935779816513763E-2</v>
      </c>
      <c r="R48" s="45">
        <f t="shared" si="5"/>
        <v>5.841762722496667E-3</v>
      </c>
    </row>
    <row r="49" spans="1:21" x14ac:dyDescent="0.2">
      <c r="A49" t="s">
        <v>133</v>
      </c>
      <c r="B49">
        <v>1</v>
      </c>
      <c r="D49">
        <v>1</v>
      </c>
      <c r="E49" s="22">
        <v>400</v>
      </c>
      <c r="F49" s="43">
        <f t="shared" si="3"/>
        <v>4.2735042735042739E-3</v>
      </c>
      <c r="G49" s="22"/>
      <c r="K49" t="s">
        <v>133</v>
      </c>
      <c r="L49">
        <v>1</v>
      </c>
      <c r="N49">
        <v>1</v>
      </c>
      <c r="O49" s="22">
        <v>400</v>
      </c>
      <c r="P49" s="43">
        <f t="shared" si="4"/>
        <v>1.1467889908256881E-2</v>
      </c>
      <c r="R49" s="45">
        <f t="shared" si="5"/>
        <v>7.1943856347526074E-3</v>
      </c>
    </row>
    <row r="50" spans="1:21" x14ac:dyDescent="0.2">
      <c r="A50" t="s">
        <v>139</v>
      </c>
      <c r="B50">
        <v>1</v>
      </c>
      <c r="D50">
        <v>1</v>
      </c>
      <c r="E50" s="22">
        <v>400</v>
      </c>
      <c r="F50" s="43">
        <f t="shared" si="3"/>
        <v>4.2735042735042739E-3</v>
      </c>
      <c r="G50" s="22"/>
      <c r="K50" t="s">
        <v>139</v>
      </c>
      <c r="L50">
        <v>1</v>
      </c>
      <c r="N50">
        <v>1</v>
      </c>
      <c r="O50" s="22">
        <v>400</v>
      </c>
      <c r="P50" s="43">
        <f t="shared" si="4"/>
        <v>1.1467889908256881E-2</v>
      </c>
      <c r="R50" s="45">
        <f t="shared" si="5"/>
        <v>7.1943856347526074E-3</v>
      </c>
    </row>
    <row r="51" spans="1:21" x14ac:dyDescent="0.2">
      <c r="A51" t="s">
        <v>145</v>
      </c>
      <c r="B51">
        <v>1</v>
      </c>
      <c r="D51">
        <v>1</v>
      </c>
      <c r="E51" s="22">
        <v>400</v>
      </c>
      <c r="F51" s="43">
        <f t="shared" si="3"/>
        <v>4.2735042735042739E-3</v>
      </c>
      <c r="G51" s="22"/>
      <c r="K51" t="s">
        <v>145</v>
      </c>
      <c r="L51">
        <v>1</v>
      </c>
      <c r="N51">
        <v>1</v>
      </c>
      <c r="O51" s="22">
        <v>400</v>
      </c>
      <c r="P51" s="43">
        <f t="shared" si="4"/>
        <v>1.1467889908256881E-2</v>
      </c>
      <c r="R51" s="45">
        <f t="shared" si="5"/>
        <v>7.1943856347526074E-3</v>
      </c>
    </row>
    <row r="52" spans="1:21" x14ac:dyDescent="0.2">
      <c r="A52" t="s">
        <v>98</v>
      </c>
      <c r="B52">
        <v>1</v>
      </c>
      <c r="D52">
        <v>1</v>
      </c>
      <c r="E52" s="22">
        <v>400</v>
      </c>
      <c r="F52" s="43">
        <f t="shared" si="3"/>
        <v>4.2735042735042739E-3</v>
      </c>
      <c r="G52" s="22"/>
      <c r="K52" t="s">
        <v>98</v>
      </c>
      <c r="L52">
        <v>1</v>
      </c>
      <c r="N52">
        <v>1</v>
      </c>
      <c r="O52" s="22">
        <v>400</v>
      </c>
      <c r="P52" s="43">
        <f t="shared" si="4"/>
        <v>1.1467889908256881E-2</v>
      </c>
      <c r="R52" s="45">
        <f t="shared" si="5"/>
        <v>7.1943856347526074E-3</v>
      </c>
    </row>
    <row r="53" spans="1:21" x14ac:dyDescent="0.2">
      <c r="A53" t="s">
        <v>105</v>
      </c>
      <c r="B53">
        <v>1</v>
      </c>
      <c r="D53">
        <v>1</v>
      </c>
      <c r="E53" s="22">
        <v>500</v>
      </c>
      <c r="F53" s="43">
        <f t="shared" si="3"/>
        <v>4.2735042735042739E-3</v>
      </c>
      <c r="G53" s="22"/>
      <c r="K53" t="s">
        <v>105</v>
      </c>
      <c r="L53">
        <v>1</v>
      </c>
      <c r="N53">
        <v>1</v>
      </c>
      <c r="O53" s="22">
        <v>500</v>
      </c>
      <c r="P53" s="43">
        <f t="shared" si="4"/>
        <v>1.4334862385321102E-2</v>
      </c>
      <c r="R53" s="45">
        <f t="shared" si="5"/>
        <v>1.0061358111816828E-2</v>
      </c>
    </row>
    <row r="54" spans="1:21" x14ac:dyDescent="0.2">
      <c r="A54" t="s">
        <v>90</v>
      </c>
      <c r="B54">
        <v>3</v>
      </c>
      <c r="D54">
        <v>3</v>
      </c>
      <c r="E54" s="22">
        <v>800</v>
      </c>
      <c r="F54" s="43">
        <f t="shared" si="3"/>
        <v>1.282051282051282E-2</v>
      </c>
      <c r="G54" s="22"/>
      <c r="K54" t="s">
        <v>90</v>
      </c>
      <c r="L54">
        <v>3</v>
      </c>
      <c r="N54">
        <v>3</v>
      </c>
      <c r="O54" s="22">
        <v>800</v>
      </c>
      <c r="P54" s="43">
        <f t="shared" si="4"/>
        <v>2.2935779816513763E-2</v>
      </c>
      <c r="R54" s="45">
        <f t="shared" si="5"/>
        <v>1.0115266996000943E-2</v>
      </c>
    </row>
    <row r="55" spans="1:21" x14ac:dyDescent="0.2">
      <c r="A55" t="s">
        <v>108</v>
      </c>
      <c r="B55">
        <v>1</v>
      </c>
      <c r="D55">
        <v>1</v>
      </c>
      <c r="E55" s="22">
        <v>600</v>
      </c>
      <c r="F55" s="43">
        <f t="shared" si="3"/>
        <v>4.2735042735042739E-3</v>
      </c>
      <c r="G55" s="22"/>
      <c r="K55" t="s">
        <v>108</v>
      </c>
      <c r="L55">
        <v>1</v>
      </c>
      <c r="N55">
        <v>1</v>
      </c>
      <c r="O55" s="22">
        <v>600</v>
      </c>
      <c r="P55" s="43">
        <f t="shared" si="4"/>
        <v>1.7201834862385322E-2</v>
      </c>
      <c r="R55" s="45">
        <f t="shared" si="5"/>
        <v>1.2928330588881048E-2</v>
      </c>
    </row>
    <row r="56" spans="1:21" x14ac:dyDescent="0.2">
      <c r="A56" t="s">
        <v>137</v>
      </c>
      <c r="B56">
        <v>1</v>
      </c>
      <c r="D56">
        <v>1</v>
      </c>
      <c r="E56" s="22">
        <v>600</v>
      </c>
      <c r="F56" s="43">
        <f t="shared" si="3"/>
        <v>4.2735042735042739E-3</v>
      </c>
      <c r="G56" s="22"/>
      <c r="K56" t="s">
        <v>137</v>
      </c>
      <c r="L56">
        <v>1</v>
      </c>
      <c r="N56">
        <v>1</v>
      </c>
      <c r="O56" s="22">
        <v>600</v>
      </c>
      <c r="P56" s="43">
        <f t="shared" si="4"/>
        <v>1.7201834862385322E-2</v>
      </c>
      <c r="R56" s="45">
        <f t="shared" si="5"/>
        <v>1.2928330588881048E-2</v>
      </c>
    </row>
    <row r="57" spans="1:21" x14ac:dyDescent="0.2">
      <c r="A57" t="s">
        <v>141</v>
      </c>
      <c r="B57">
        <v>5</v>
      </c>
      <c r="D57">
        <v>5</v>
      </c>
      <c r="E57" s="41">
        <v>1200</v>
      </c>
      <c r="F57" s="43">
        <f t="shared" si="3"/>
        <v>2.1367521367521368E-2</v>
      </c>
      <c r="G57" s="22"/>
      <c r="K57" t="s">
        <v>141</v>
      </c>
      <c r="L57">
        <v>5</v>
      </c>
      <c r="N57">
        <v>5</v>
      </c>
      <c r="O57" s="41">
        <v>1200</v>
      </c>
      <c r="P57" s="43">
        <f t="shared" si="4"/>
        <v>3.4403669724770644E-2</v>
      </c>
      <c r="R57" s="45">
        <f t="shared" si="5"/>
        <v>1.3036148357249276E-2</v>
      </c>
    </row>
    <row r="58" spans="1:21" x14ac:dyDescent="0.2">
      <c r="A58" t="s">
        <v>103</v>
      </c>
      <c r="B58">
        <v>6</v>
      </c>
      <c r="C58">
        <v>9</v>
      </c>
      <c r="D58">
        <v>15</v>
      </c>
      <c r="E58" s="22">
        <v>2900</v>
      </c>
      <c r="F58" s="43">
        <f t="shared" si="3"/>
        <v>6.4102564102564097E-2</v>
      </c>
      <c r="G58" s="22"/>
      <c r="K58" t="s">
        <v>103</v>
      </c>
      <c r="L58">
        <v>6</v>
      </c>
      <c r="M58">
        <v>9</v>
      </c>
      <c r="N58">
        <v>15</v>
      </c>
      <c r="O58" s="22">
        <v>2900</v>
      </c>
      <c r="P58" s="43">
        <f t="shared" si="4"/>
        <v>8.3142201834862386E-2</v>
      </c>
      <c r="R58" s="45">
        <f t="shared" si="5"/>
        <v>1.903963773229829E-2</v>
      </c>
    </row>
    <row r="59" spans="1:21" x14ac:dyDescent="0.2">
      <c r="A59" t="s">
        <v>138</v>
      </c>
      <c r="B59">
        <v>2</v>
      </c>
      <c r="D59">
        <v>2</v>
      </c>
      <c r="E59" s="22">
        <v>1000</v>
      </c>
      <c r="F59" s="43">
        <f t="shared" si="3"/>
        <v>8.5470085470085479E-3</v>
      </c>
      <c r="G59" s="22"/>
      <c r="K59" t="s">
        <v>138</v>
      </c>
      <c r="L59">
        <v>2</v>
      </c>
      <c r="N59">
        <v>2</v>
      </c>
      <c r="O59" s="22">
        <v>1000</v>
      </c>
      <c r="P59" s="43">
        <f>O59/$U$63</f>
        <v>2.8669724770642203E-2</v>
      </c>
      <c r="R59" s="45">
        <f t="shared" si="5"/>
        <v>2.0122716223633656E-2</v>
      </c>
    </row>
    <row r="60" spans="1:21" x14ac:dyDescent="0.2">
      <c r="A60" t="s">
        <v>81</v>
      </c>
      <c r="B60">
        <v>3</v>
      </c>
      <c r="D60">
        <v>3</v>
      </c>
      <c r="E60" s="22">
        <v>1900</v>
      </c>
      <c r="F60" s="43">
        <f t="shared" si="3"/>
        <v>1.282051282051282E-2</v>
      </c>
      <c r="G60" s="22"/>
      <c r="K60" t="s">
        <v>81</v>
      </c>
      <c r="L60">
        <v>3</v>
      </c>
      <c r="N60">
        <v>3</v>
      </c>
      <c r="O60" s="22">
        <v>1900</v>
      </c>
      <c r="P60" s="43">
        <f t="shared" si="4"/>
        <v>5.4472477064220183E-2</v>
      </c>
      <c r="R60" s="45">
        <f t="shared" si="5"/>
        <v>4.165196424370736E-2</v>
      </c>
    </row>
    <row r="61" spans="1:21" x14ac:dyDescent="0.2">
      <c r="A61" t="s">
        <v>74</v>
      </c>
      <c r="B61">
        <v>1</v>
      </c>
      <c r="D61">
        <v>1</v>
      </c>
      <c r="E61" s="22">
        <v>2600</v>
      </c>
      <c r="F61" s="43">
        <f t="shared" si="3"/>
        <v>4.2735042735042739E-3</v>
      </c>
      <c r="G61" s="22"/>
      <c r="K61" t="s">
        <v>74</v>
      </c>
      <c r="L61">
        <v>1</v>
      </c>
      <c r="N61">
        <v>1</v>
      </c>
      <c r="O61" s="22">
        <v>2600</v>
      </c>
      <c r="P61" s="43">
        <f t="shared" si="4"/>
        <v>7.4541284403669722E-2</v>
      </c>
      <c r="R61" s="45">
        <f t="shared" si="5"/>
        <v>7.026778013016545E-2</v>
      </c>
    </row>
    <row r="62" spans="1:21" x14ac:dyDescent="0.2">
      <c r="A62" t="s">
        <v>70</v>
      </c>
      <c r="B62">
        <v>6</v>
      </c>
      <c r="D62">
        <v>6</v>
      </c>
      <c r="E62" s="22">
        <v>3800</v>
      </c>
      <c r="F62" s="43">
        <f t="shared" si="3"/>
        <v>2.564102564102564E-2</v>
      </c>
      <c r="G62" s="22"/>
      <c r="K62" t="s">
        <v>70</v>
      </c>
      <c r="L62">
        <v>6</v>
      </c>
      <c r="N62">
        <v>6</v>
      </c>
      <c r="O62" s="22">
        <v>3800</v>
      </c>
      <c r="P62" s="43">
        <f t="shared" si="4"/>
        <v>0.10894495412844037</v>
      </c>
      <c r="R62" s="45">
        <f t="shared" si="5"/>
        <v>8.3303928487414719E-2</v>
      </c>
    </row>
    <row r="63" spans="1:21" x14ac:dyDescent="0.2">
      <c r="G63" s="22"/>
      <c r="O63" s="22"/>
      <c r="T63">
        <f>SUM(D2:D62)</f>
        <v>234</v>
      </c>
      <c r="U63" s="22">
        <f>SUM(E2:E62)</f>
        <v>34880</v>
      </c>
    </row>
    <row r="64" spans="1:21" x14ac:dyDescent="0.2">
      <c r="G64" s="22"/>
    </row>
    <row r="65" spans="5:15" x14ac:dyDescent="0.2">
      <c r="E65" s="22"/>
      <c r="G65" s="22"/>
      <c r="O65" s="22"/>
    </row>
    <row r="66" spans="5:15" x14ac:dyDescent="0.2">
      <c r="E66" s="22"/>
      <c r="G66" s="22"/>
      <c r="O66" s="22"/>
    </row>
    <row r="67" spans="5:15" x14ac:dyDescent="0.2">
      <c r="G67" s="22"/>
    </row>
  </sheetData>
  <autoFilter ref="A1:R66" xr:uid="{00000000-0009-0000-0000-000009000000}">
    <sortState ref="A2:R66">
      <sortCondition ref="R1:R66"/>
    </sortState>
  </autoFilter>
  <sortState ref="A1:A234">
    <sortCondition ref="A1"/>
  </sortState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4691-01F5-4397-B14E-2EB74D6014B3}">
  <sheetPr codeName="Foglio15"/>
  <dimension ref="A1:AM92"/>
  <sheetViews>
    <sheetView zoomScale="85" zoomScaleNormal="85" workbookViewId="0">
      <selection activeCell="E19" sqref="E19"/>
    </sheetView>
  </sheetViews>
  <sheetFormatPr defaultRowHeight="14.25" x14ac:dyDescent="0.2"/>
  <cols>
    <col min="2" max="3" width="11.375" bestFit="1" customWidth="1"/>
    <col min="4" max="4" width="11.125" bestFit="1" customWidth="1"/>
  </cols>
  <sheetData>
    <row r="1" spans="1:39" x14ac:dyDescent="0.2">
      <c r="A1" t="s">
        <v>173</v>
      </c>
      <c r="B1" s="94" t="s">
        <v>174</v>
      </c>
      <c r="C1" s="94" t="s">
        <v>175</v>
      </c>
      <c r="AA1" s="94">
        <v>29700</v>
      </c>
      <c r="AB1" s="94">
        <v>56700</v>
      </c>
      <c r="AC1" s="94">
        <v>85050</v>
      </c>
      <c r="AD1" s="94">
        <v>114750</v>
      </c>
      <c r="AE1" s="94">
        <v>144450</v>
      </c>
      <c r="AF1" s="94">
        <v>171450</v>
      </c>
      <c r="AG1" s="94">
        <v>171450</v>
      </c>
      <c r="AH1" s="94">
        <v>171450</v>
      </c>
      <c r="AI1" s="94">
        <v>171450</v>
      </c>
      <c r="AJ1" s="94">
        <v>171450</v>
      </c>
      <c r="AK1" s="94">
        <v>171450</v>
      </c>
      <c r="AL1" s="94">
        <v>171450</v>
      </c>
      <c r="AM1" s="94">
        <v>171450</v>
      </c>
    </row>
    <row r="2" spans="1:39" x14ac:dyDescent="0.2">
      <c r="A2" t="s">
        <v>176</v>
      </c>
      <c r="B2" s="94">
        <v>18375</v>
      </c>
      <c r="C2" s="94">
        <v>29700</v>
      </c>
      <c r="D2" s="94">
        <f>SUM(B2-C2)</f>
        <v>-11325</v>
      </c>
    </row>
    <row r="3" spans="1:39" x14ac:dyDescent="0.2">
      <c r="A3" t="s">
        <v>177</v>
      </c>
      <c r="B3" s="94">
        <v>25120</v>
      </c>
      <c r="C3" s="94">
        <v>27000</v>
      </c>
      <c r="D3" s="94">
        <f t="shared" ref="D3:D13" si="0">SUM(B3-C3)</f>
        <v>-1880</v>
      </c>
    </row>
    <row r="4" spans="1:39" x14ac:dyDescent="0.2">
      <c r="A4" t="s">
        <v>178</v>
      </c>
      <c r="B4" s="94">
        <v>31990.07</v>
      </c>
      <c r="C4" s="94">
        <v>28350</v>
      </c>
      <c r="D4" s="94">
        <f t="shared" si="0"/>
        <v>3640.0699999999997</v>
      </c>
    </row>
    <row r="5" spans="1:39" x14ac:dyDescent="0.2">
      <c r="A5" t="s">
        <v>179</v>
      </c>
      <c r="B5" s="94">
        <v>35030</v>
      </c>
      <c r="C5" s="94">
        <v>29700</v>
      </c>
      <c r="D5" s="94">
        <f t="shared" si="0"/>
        <v>5330</v>
      </c>
    </row>
    <row r="6" spans="1:39" x14ac:dyDescent="0.2">
      <c r="A6" t="s">
        <v>180</v>
      </c>
      <c r="B6" s="94">
        <v>34578.720000000001</v>
      </c>
      <c r="C6" s="94">
        <v>29700</v>
      </c>
      <c r="D6" s="94">
        <f t="shared" si="0"/>
        <v>4878.7200000000012</v>
      </c>
    </row>
    <row r="7" spans="1:39" x14ac:dyDescent="0.2">
      <c r="A7" t="s">
        <v>181</v>
      </c>
      <c r="B7" s="94">
        <v>30290</v>
      </c>
      <c r="C7" s="94">
        <v>27000</v>
      </c>
      <c r="D7" s="94">
        <f t="shared" si="0"/>
        <v>3290</v>
      </c>
    </row>
    <row r="8" spans="1:39" x14ac:dyDescent="0.2">
      <c r="A8" t="s">
        <v>182</v>
      </c>
      <c r="B8" s="94">
        <v>19754.97</v>
      </c>
      <c r="C8" s="94">
        <v>31050</v>
      </c>
      <c r="D8" s="94">
        <f t="shared" si="0"/>
        <v>-11295.029999999999</v>
      </c>
    </row>
    <row r="9" spans="1:39" x14ac:dyDescent="0.2">
      <c r="A9" t="s">
        <v>183</v>
      </c>
      <c r="B9">
        <v>0</v>
      </c>
      <c r="C9">
        <v>0</v>
      </c>
      <c r="D9" s="94">
        <f t="shared" si="0"/>
        <v>0</v>
      </c>
    </row>
    <row r="10" spans="1:39" x14ac:dyDescent="0.2">
      <c r="A10" t="s">
        <v>184</v>
      </c>
      <c r="B10">
        <v>0</v>
      </c>
      <c r="C10">
        <v>0</v>
      </c>
      <c r="D10" s="94">
        <f t="shared" si="0"/>
        <v>0</v>
      </c>
    </row>
    <row r="11" spans="1:39" x14ac:dyDescent="0.2">
      <c r="A11" t="s">
        <v>185</v>
      </c>
      <c r="B11">
        <v>0</v>
      </c>
      <c r="C11">
        <v>0</v>
      </c>
      <c r="D11" s="94">
        <f t="shared" si="0"/>
        <v>0</v>
      </c>
    </row>
    <row r="12" spans="1:39" x14ac:dyDescent="0.2">
      <c r="A12" t="s">
        <v>186</v>
      </c>
      <c r="B12">
        <v>0</v>
      </c>
      <c r="C12">
        <v>0</v>
      </c>
      <c r="D12" s="94">
        <f t="shared" si="0"/>
        <v>0</v>
      </c>
    </row>
    <row r="13" spans="1:39" x14ac:dyDescent="0.2">
      <c r="A13" t="s">
        <v>187</v>
      </c>
      <c r="B13">
        <v>0</v>
      </c>
      <c r="C13">
        <v>0</v>
      </c>
      <c r="D13" s="94">
        <f t="shared" si="0"/>
        <v>0</v>
      </c>
    </row>
    <row r="26" spans="1:4" x14ac:dyDescent="0.2">
      <c r="A26" t="s">
        <v>173</v>
      </c>
      <c r="B26" t="s">
        <v>174</v>
      </c>
      <c r="C26" t="s">
        <v>175</v>
      </c>
    </row>
    <row r="27" spans="1:4" x14ac:dyDescent="0.2">
      <c r="A27" t="s">
        <v>176</v>
      </c>
      <c r="B27" s="94">
        <v>18375</v>
      </c>
      <c r="C27" s="94">
        <v>29700</v>
      </c>
      <c r="D27" s="94">
        <f>SUM(B27-C27)</f>
        <v>-11325</v>
      </c>
    </row>
    <row r="28" spans="1:4" x14ac:dyDescent="0.2">
      <c r="A28" t="s">
        <v>177</v>
      </c>
      <c r="B28" s="94">
        <v>43495</v>
      </c>
      <c r="C28" s="94">
        <v>56700</v>
      </c>
      <c r="D28" s="94">
        <f t="shared" ref="D28:D38" si="1">SUM(B28-C28)</f>
        <v>-13205</v>
      </c>
    </row>
    <row r="29" spans="1:4" x14ac:dyDescent="0.2">
      <c r="A29" t="s">
        <v>178</v>
      </c>
      <c r="B29" s="94">
        <v>75485.070000000007</v>
      </c>
      <c r="C29" s="94">
        <v>85050</v>
      </c>
      <c r="D29" s="94">
        <f t="shared" si="1"/>
        <v>-9564.929999999993</v>
      </c>
    </row>
    <row r="30" spans="1:4" x14ac:dyDescent="0.2">
      <c r="A30" t="s">
        <v>179</v>
      </c>
      <c r="B30" s="94">
        <v>110515.07</v>
      </c>
      <c r="C30" s="94">
        <v>114750</v>
      </c>
      <c r="D30" s="94">
        <f t="shared" si="1"/>
        <v>-4234.929999999993</v>
      </c>
    </row>
    <row r="31" spans="1:4" x14ac:dyDescent="0.2">
      <c r="A31" t="s">
        <v>180</v>
      </c>
      <c r="B31" s="94">
        <v>145093.79</v>
      </c>
      <c r="C31" s="94">
        <v>144450</v>
      </c>
      <c r="D31" s="94">
        <f t="shared" si="1"/>
        <v>643.79000000000815</v>
      </c>
    </row>
    <row r="32" spans="1:4" x14ac:dyDescent="0.2">
      <c r="A32" t="s">
        <v>181</v>
      </c>
      <c r="B32" s="94">
        <v>175383.79</v>
      </c>
      <c r="C32" s="94">
        <v>171450</v>
      </c>
      <c r="D32" s="94">
        <f t="shared" si="1"/>
        <v>3933.7900000000081</v>
      </c>
    </row>
    <row r="33" spans="1:4" x14ac:dyDescent="0.2">
      <c r="A33" t="s">
        <v>182</v>
      </c>
      <c r="B33" s="94">
        <v>195138.76</v>
      </c>
      <c r="C33" s="94">
        <v>202500</v>
      </c>
      <c r="D33" s="94">
        <f t="shared" si="1"/>
        <v>-7361.2399999999907</v>
      </c>
    </row>
    <row r="34" spans="1:4" x14ac:dyDescent="0.2">
      <c r="A34" t="s">
        <v>183</v>
      </c>
      <c r="B34" s="94">
        <v>195138.76</v>
      </c>
      <c r="C34" s="94">
        <v>202500</v>
      </c>
      <c r="D34" s="94">
        <f t="shared" si="1"/>
        <v>-7361.2399999999907</v>
      </c>
    </row>
    <row r="35" spans="1:4" x14ac:dyDescent="0.2">
      <c r="A35" t="s">
        <v>184</v>
      </c>
      <c r="B35" s="94">
        <v>195138.76</v>
      </c>
      <c r="C35" s="94">
        <v>202500</v>
      </c>
      <c r="D35" s="94">
        <f t="shared" si="1"/>
        <v>-7361.2399999999907</v>
      </c>
    </row>
    <row r="36" spans="1:4" x14ac:dyDescent="0.2">
      <c r="A36" t="s">
        <v>185</v>
      </c>
      <c r="B36" s="94">
        <v>195138.76</v>
      </c>
      <c r="C36" s="94">
        <v>202500</v>
      </c>
      <c r="D36" s="94">
        <f t="shared" si="1"/>
        <v>-7361.2399999999907</v>
      </c>
    </row>
    <row r="37" spans="1:4" x14ac:dyDescent="0.2">
      <c r="A37" t="s">
        <v>186</v>
      </c>
      <c r="B37" s="94">
        <v>195138.76</v>
      </c>
      <c r="C37" s="94">
        <v>202500</v>
      </c>
      <c r="D37" s="94">
        <f t="shared" si="1"/>
        <v>-7361.2399999999907</v>
      </c>
    </row>
    <row r="38" spans="1:4" x14ac:dyDescent="0.2">
      <c r="A38" t="s">
        <v>187</v>
      </c>
      <c r="B38" s="94">
        <v>195138.76</v>
      </c>
      <c r="C38" s="94">
        <v>202500</v>
      </c>
      <c r="D38" s="94">
        <f t="shared" si="1"/>
        <v>-7361.2399999999907</v>
      </c>
    </row>
    <row r="54" spans="1:3" x14ac:dyDescent="0.2">
      <c r="A54" t="s">
        <v>173</v>
      </c>
      <c r="B54" t="s">
        <v>188</v>
      </c>
      <c r="C54" t="s">
        <v>189</v>
      </c>
    </row>
    <row r="55" spans="1:3" x14ac:dyDescent="0.2">
      <c r="A55" t="s">
        <v>176</v>
      </c>
      <c r="B55">
        <v>29</v>
      </c>
      <c r="C55">
        <v>68</v>
      </c>
    </row>
    <row r="56" spans="1:3" x14ac:dyDescent="0.2">
      <c r="A56" t="s">
        <v>177</v>
      </c>
      <c r="B56">
        <v>39</v>
      </c>
      <c r="C56">
        <v>114</v>
      </c>
    </row>
    <row r="57" spans="1:3" x14ac:dyDescent="0.2">
      <c r="A57" t="s">
        <v>178</v>
      </c>
      <c r="B57">
        <v>51</v>
      </c>
      <c r="C57">
        <v>152</v>
      </c>
    </row>
    <row r="58" spans="1:3" x14ac:dyDescent="0.2">
      <c r="A58" t="s">
        <v>179</v>
      </c>
      <c r="B58">
        <v>29</v>
      </c>
      <c r="C58">
        <v>165</v>
      </c>
    </row>
    <row r="59" spans="1:3" x14ac:dyDescent="0.2">
      <c r="A59" t="s">
        <v>180</v>
      </c>
      <c r="B59">
        <v>40</v>
      </c>
      <c r="C59">
        <v>133</v>
      </c>
    </row>
    <row r="60" spans="1:3" x14ac:dyDescent="0.2">
      <c r="A60" t="s">
        <v>181</v>
      </c>
      <c r="B60">
        <v>58</v>
      </c>
      <c r="C60">
        <v>139</v>
      </c>
    </row>
    <row r="61" spans="1:3" x14ac:dyDescent="0.2">
      <c r="A61" t="s">
        <v>182</v>
      </c>
      <c r="B61">
        <v>36</v>
      </c>
      <c r="C61">
        <v>94</v>
      </c>
    </row>
    <row r="62" spans="1:3" x14ac:dyDescent="0.2">
      <c r="A62" t="s">
        <v>183</v>
      </c>
      <c r="C62">
        <v>0</v>
      </c>
    </row>
    <row r="63" spans="1:3" x14ac:dyDescent="0.2">
      <c r="A63" t="s">
        <v>184</v>
      </c>
      <c r="C63">
        <v>0</v>
      </c>
    </row>
    <row r="64" spans="1:3" x14ac:dyDescent="0.2">
      <c r="A64" t="s">
        <v>185</v>
      </c>
      <c r="C64">
        <v>0</v>
      </c>
    </row>
    <row r="65" spans="1:3" x14ac:dyDescent="0.2">
      <c r="A65" t="s">
        <v>186</v>
      </c>
      <c r="C65">
        <v>0</v>
      </c>
    </row>
    <row r="66" spans="1:3" x14ac:dyDescent="0.2">
      <c r="A66" t="s">
        <v>187</v>
      </c>
      <c r="C66">
        <v>0</v>
      </c>
    </row>
    <row r="80" spans="1:3" x14ac:dyDescent="0.2">
      <c r="A80" t="s">
        <v>173</v>
      </c>
      <c r="B80" t="s">
        <v>188</v>
      </c>
      <c r="C80" t="s">
        <v>189</v>
      </c>
    </row>
    <row r="81" spans="1:3" x14ac:dyDescent="0.2">
      <c r="A81" t="s">
        <v>176</v>
      </c>
      <c r="B81">
        <v>29</v>
      </c>
      <c r="C81">
        <v>68</v>
      </c>
    </row>
    <row r="82" spans="1:3" x14ac:dyDescent="0.2">
      <c r="A82" t="s">
        <v>177</v>
      </c>
      <c r="B82">
        <v>68</v>
      </c>
      <c r="C82">
        <v>182</v>
      </c>
    </row>
    <row r="83" spans="1:3" x14ac:dyDescent="0.2">
      <c r="A83" t="s">
        <v>178</v>
      </c>
      <c r="B83">
        <v>119</v>
      </c>
      <c r="C83">
        <v>334</v>
      </c>
    </row>
    <row r="84" spans="1:3" x14ac:dyDescent="0.2">
      <c r="A84" t="s">
        <v>179</v>
      </c>
      <c r="B84">
        <v>148</v>
      </c>
      <c r="C84">
        <v>499</v>
      </c>
    </row>
    <row r="85" spans="1:3" x14ac:dyDescent="0.2">
      <c r="A85" t="s">
        <v>180</v>
      </c>
      <c r="B85">
        <v>188</v>
      </c>
      <c r="C85">
        <v>632</v>
      </c>
    </row>
    <row r="86" spans="1:3" x14ac:dyDescent="0.2">
      <c r="A86" t="s">
        <v>181</v>
      </c>
      <c r="B86">
        <v>246</v>
      </c>
      <c r="C86">
        <v>771</v>
      </c>
    </row>
    <row r="87" spans="1:3" x14ac:dyDescent="0.2">
      <c r="A87" t="s">
        <v>182</v>
      </c>
      <c r="B87">
        <v>282</v>
      </c>
      <c r="C87">
        <v>865</v>
      </c>
    </row>
    <row r="88" spans="1:3" x14ac:dyDescent="0.2">
      <c r="A88" t="s">
        <v>183</v>
      </c>
      <c r="B88">
        <v>282</v>
      </c>
      <c r="C88">
        <v>865</v>
      </c>
    </row>
    <row r="89" spans="1:3" x14ac:dyDescent="0.2">
      <c r="A89" t="s">
        <v>184</v>
      </c>
      <c r="B89">
        <v>282</v>
      </c>
      <c r="C89">
        <v>865</v>
      </c>
    </row>
    <row r="90" spans="1:3" x14ac:dyDescent="0.2">
      <c r="A90" t="s">
        <v>185</v>
      </c>
      <c r="B90">
        <v>282</v>
      </c>
      <c r="C90">
        <v>865</v>
      </c>
    </row>
    <row r="91" spans="1:3" x14ac:dyDescent="0.2">
      <c r="A91" t="s">
        <v>186</v>
      </c>
      <c r="B91">
        <v>282</v>
      </c>
      <c r="C91">
        <v>865</v>
      </c>
    </row>
    <row r="92" spans="1:3" x14ac:dyDescent="0.2">
      <c r="A92" t="s">
        <v>187</v>
      </c>
      <c r="B92">
        <v>282</v>
      </c>
      <c r="C92">
        <v>865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7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1</vt:i4>
      </vt:variant>
    </vt:vector>
  </HeadingPairs>
  <TitlesOfParts>
    <vt:vector size="19" baseType="lpstr">
      <vt:lpstr>Foglio1</vt:lpstr>
      <vt:lpstr>Riepilogo 2019-1</vt:lpstr>
      <vt:lpstr>Riepilogo 2019-2</vt:lpstr>
      <vt:lpstr>Riepilogo 2019-3</vt:lpstr>
      <vt:lpstr>Riepilogo 2019-4</vt:lpstr>
      <vt:lpstr>Riepilogo 2019-5</vt:lpstr>
      <vt:lpstr>Riepilogo 2019-6</vt:lpstr>
      <vt:lpstr>Riepilogo 2019-7</vt:lpstr>
      <vt:lpstr>Riepilogo 2019-8</vt:lpstr>
      <vt:lpstr>Riepilogo 2019-9</vt:lpstr>
      <vt:lpstr>Riepilogo 2019-10</vt:lpstr>
      <vt:lpstr>Riepilogo 2019-11</vt:lpstr>
      <vt:lpstr>Riepilogo 2019-12</vt:lpstr>
      <vt:lpstr>Clienti</vt:lpstr>
      <vt:lpstr>Foglio2</vt:lpstr>
      <vt:lpstr>Foglio3</vt:lpstr>
      <vt:lpstr>Tempo</vt:lpstr>
      <vt:lpstr>cumulata</vt:lpstr>
      <vt:lpstr>Foglio1!Area_stampa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Rossana Pepe</dc:creator>
  <cp:lastModifiedBy>Ponteggi5</cp:lastModifiedBy>
  <cp:revision>4</cp:revision>
  <cp:lastPrinted>2019-07-08T16:43:41Z</cp:lastPrinted>
  <dcterms:created xsi:type="dcterms:W3CDTF">2018-06-28T16:26:39Z</dcterms:created>
  <dcterms:modified xsi:type="dcterms:W3CDTF">2019-07-25T15:35:45Z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Gestionefile_1" visible="true" label="Gestione File" imageMso="HappyFace" onAction="Gestionefile"/>
        <mso:button idQ="doc:PrezziApri_1" visible="true" label="Prezzi - Apri" imageMso="ViewGoForward" onAction="PrezziApri"/>
        <mso:button idQ="doc:PrezziChiudi_1" visible="true" label="Prezzi - Chiudi" imageMso="ViewGoBack" onAction="PrezziChiudi"/>
        <mso:button idQ="doc:inScadenza_1" visible="true" label="inScadenza" imageMso="FilterToggleFilter" onAction="inScadenza"/>
        <mso:button idQ="doc:FiltraBiancoAzzurro_1" visible="true" label="FiltraBiancoAzzurro" imageMso="SetPertWeights" onAction="FiltraBiancoAzzurro"/>
        <mso:button idQ="doc:Nascondino_1" visible="true" label="Nascondino" imageMso="CondolatoryEvent" onAction="Nascondino"/>
        <mso:button idQ="doc:cumulata_1" visible="true" label="cumulata" imageMso="FormulaMoreFunctionsMenu" onAction="cumulata"/>
      </mso:documentControls>
    </mso:qat>
  </mso:ribbon>
</mso:customUI>
</file>